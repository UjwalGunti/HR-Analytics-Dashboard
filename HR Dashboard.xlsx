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E:\HR ANALYTICS\"/>
    </mc:Choice>
  </mc:AlternateContent>
  <xr:revisionPtr revIDLastSave="0" documentId="13_ncr:1_{CF1E9AF2-2077-44D7-A55F-EAC40905C5E0}" xr6:coauthVersionLast="47" xr6:coauthVersionMax="47" xr10:uidLastSave="{00000000-0000-0000-0000-000000000000}"/>
  <bookViews>
    <workbookView xWindow="-108" yWindow="-108" windowWidth="23256" windowHeight="12576" xr2:uid="{408BA6AB-5196-496B-9C80-B057CC378CDA}"/>
  </bookViews>
  <sheets>
    <sheet name="Dashboard" sheetId="2" r:id="rId1"/>
    <sheet name="Data" sheetId="1" r:id="rId2"/>
    <sheet name="Pivot tables"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3" l="1"/>
  <c r="O11" i="3"/>
  <c r="C12" i="3"/>
  <c r="O12" i="3"/>
  <c r="C13" i="3"/>
  <c r="F13" i="3"/>
  <c r="G13" i="3"/>
  <c r="O13" i="3"/>
  <c r="P11" i="3" l="1"/>
  <c r="Q11" i="3" s="1"/>
  <c r="P12" i="3"/>
  <c r="Q12" i="3" s="1"/>
  <c r="P13" i="3"/>
  <c r="Q13" i="3" s="1"/>
  <c r="T13" i="3"/>
  <c r="W13" i="3"/>
  <c r="Z13" i="3"/>
  <c r="C14" i="3"/>
  <c r="F14" i="3"/>
  <c r="G14" i="3"/>
  <c r="J14" i="3"/>
  <c r="O14" i="3"/>
  <c r="T14" i="3"/>
  <c r="W14" i="3"/>
  <c r="Z14" i="3"/>
  <c r="F15" i="3"/>
  <c r="G15" i="3"/>
  <c r="J15" i="3"/>
  <c r="T15" i="3"/>
  <c r="W15" i="3"/>
  <c r="Z15" i="3"/>
  <c r="F16" i="3"/>
  <c r="G16" i="3"/>
  <c r="J16" i="3"/>
  <c r="T16" i="3"/>
  <c r="W16" i="3"/>
  <c r="Z16" i="3"/>
  <c r="F17" i="3"/>
  <c r="G17" i="3"/>
  <c r="J17" i="3"/>
  <c r="T17" i="3"/>
  <c r="W17" i="3"/>
  <c r="Z17" i="3"/>
  <c r="F18" i="3"/>
  <c r="G18" i="3"/>
  <c r="J18" i="3"/>
  <c r="T18" i="3"/>
  <c r="W18" i="3"/>
  <c r="Z18" i="3"/>
  <c r="J19" i="3"/>
  <c r="J22" i="3"/>
  <c r="J23" i="3"/>
  <c r="K22" i="3" l="1"/>
  <c r="L22" i="3" s="1"/>
  <c r="K23" i="3"/>
  <c r="L23" i="3" s="1"/>
  <c r="J24" i="3"/>
</calcChain>
</file>

<file path=xl/sharedStrings.xml><?xml version="1.0" encoding="utf-8"?>
<sst xmlns="http://schemas.openxmlformats.org/spreadsheetml/2006/main" count="877" uniqueCount="230">
  <si>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</si>
  <si>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</si>
  <si>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</si>
  <si>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</si>
  <si>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</si>
  <si>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</si>
  <si>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</si>
  <si>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</si>
  <si>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</si>
  <si>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</si>
  <si>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</si>
  <si>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</si>
  <si>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</si>
  <si>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</si>
  <si>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</si>
  <si>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</si>
  <si>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</si>
  <si>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</si>
  <si>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</si>
  <si>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</si>
  <si>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</si>
  <si>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</si>
  <si>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</si>
  <si>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</si>
  <si>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</si>
  <si>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</si>
  <si>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</si>
  <si>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</si>
  <si>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</si>
  <si>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</si>
  <si>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</si>
  <si>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</si>
  <si>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</si>
  <si>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</si>
  <si>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</si>
  <si>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</si>
  <si>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</si>
  <si>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</si>
  <si>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</si>
  <si>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</si>
  <si>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</si>
  <si>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</si>
  <si>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</si>
  <si>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</si>
  <si>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</si>
  <si>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</si>
  <si>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</si>
  <si>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</si>
  <si>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</si>
  <si>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</si>
  <si>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</si>
  <si>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</si>
  <si>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</si>
  <si>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</si>
  <si>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</si>
  <si>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</si>
  <si>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</si>
  <si>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</si>
  <si>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</si>
  <si>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</si>
  <si>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</si>
  <si>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</si>
  <si>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</si>
  <si>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</si>
  <si>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</si>
  <si>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</si>
  <si>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</si>
  <si>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</si>
  <si>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</si>
  <si>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</si>
  <si>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</si>
  <si>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</si>
  <si>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</si>
  <si>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</si>
  <si>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</si>
  <si>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</si>
  <si>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</si>
  <si>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</si>
  <si>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</si>
  <si>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</si>
  <si>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</si>
  <si>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</si>
  <si>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</si>
  <si>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</si>
  <si>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</si>
  <si>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</si>
  <si>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</si>
  <si>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</si>
  <si>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</si>
  <si>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</si>
  <si>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</si>
  <si>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</si>
  <si>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</si>
  <si>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</si>
  <si>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</si>
  <si>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</si>
  <si>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</si>
  <si>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</si>
  <si>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</si>
  <si>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</si>
  <si>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</si>
  <si>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</si>
  <si>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</si>
  <si>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</si>
  <si>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</si>
  <si>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</si>
  <si>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</si>
  <si>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</si>
  <si>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</si>
  <si>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</si>
  <si>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</si>
  <si>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</si>
  <si>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</si>
  <si>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</si>
  <si>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</si>
  <si>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</si>
  <si>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</si>
  <si>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</si>
  <si>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</si>
  <si>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</si>
  <si>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</si>
  <si>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</si>
  <si>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</si>
  <si>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</si>
  <si>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</si>
  <si>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</si>
  <si>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</si>
  <si>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</si>
  <si>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</si>
  <si>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</si>
  <si>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</si>
  <si>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</si>
  <si>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</si>
  <si>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</si>
  <si>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</si>
  <si>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</si>
  <si>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</si>
  <si>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</si>
  <si>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</si>
  <si>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</si>
  <si>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</si>
  <si>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</si>
  <si>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</si>
  <si>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</si>
  <si>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</si>
  <si>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</si>
  <si>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</si>
  <si>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</si>
  <si>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</si>
  <si>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</si>
  <si>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</si>
  <si>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</si>
  <si>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</si>
  <si>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</si>
  <si>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</si>
  <si>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</si>
  <si>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</si>
  <si>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</si>
  <si>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</si>
  <si>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</si>
  <si>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</si>
  <si>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</si>
  <si>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</si>
  <si>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</si>
  <si>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</si>
  <si>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</si>
  <si>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</si>
  <si>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</si>
  <si>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</si>
  <si>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</si>
  <si>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</si>
  <si>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</si>
  <si>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</si>
  <si>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</si>
  <si>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</si>
  <si>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</si>
  <si>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</si>
  <si>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</si>
  <si>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</si>
  <si>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</si>
  <si>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</si>
  <si>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</si>
  <si>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</si>
  <si>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</si>
  <si>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</si>
  <si>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</si>
  <si>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</si>
  <si>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</si>
  <si>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</si>
  <si>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</si>
  <si>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</si>
  <si>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</si>
  <si>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</si>
  <si>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</si>
  <si>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</si>
  <si>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</si>
  <si>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</si>
  <si>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</si>
  <si>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</si>
  <si>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</si>
  <si>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</si>
  <si>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</si>
  <si>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</si>
  <si>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</si>
  <si>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</si>
  <si>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</si>
  <si>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</si>
  <si>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</si>
  <si>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</si>
  <si>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</si>
  <si>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</si>
  <si>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</si>
  <si>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</si>
  <si>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</si>
  <si>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Total</t>
  </si>
  <si>
    <t xml:space="preserve">Total </t>
  </si>
  <si>
    <t>Grand Total</t>
  </si>
  <si>
    <t>(blank)</t>
  </si>
  <si>
    <t>Row Labels</t>
  </si>
  <si>
    <t>Average of Performance Rating</t>
  </si>
  <si>
    <t>Count of Full Name</t>
  </si>
  <si>
    <t>Column Labels</t>
  </si>
  <si>
    <t>Sum of Leave Taken</t>
  </si>
  <si>
    <t>Sum of Salary</t>
  </si>
  <si>
    <t>Departments</t>
  </si>
  <si>
    <t>Regions</t>
  </si>
  <si>
    <t>Worklocation</t>
  </si>
  <si>
    <t>Age Range to Gender</t>
  </si>
  <si>
    <t>Salaries to Departments</t>
  </si>
  <si>
    <t>Number of Employees to Employement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</si>
</sst>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
    <numFmt numFmtId="165" formatCode="_ * #,##0_ ;_ * \-#,##0_ ;_ * &quot;-&quot;??_ ;_ @_ "/>
  </numFmts>
  <fonts count="17">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sz val="11"/>
      <color theme="1"/>
      <name val="Segoe UI Semibold"/>
      <family val="2"/>
    </font>
    <font>
      <sz val="11"/>
      <color theme="1"/>
      <name val="Segoe UI Semilight"/>
      <family val="2"/>
    </font>
    <font>
      <sz val="11"/>
      <color theme="1"/>
      <name val="Segoe UI Emoji"/>
      <family val="2"/>
    </font>
    <font>
      <b/>
      <sz val="11"/>
      <color theme="1"/>
      <name val="Segoe UI Emoji"/>
      <family val="2"/>
    </font>
    <font>
      <sz val="11"/>
      <color theme="1"/>
      <name val="Segoe UI Historic"/>
      <family val="2"/>
    </font>
    <font>
      <sz val="11"/>
      <color theme="1"/>
      <name val="Segoe UI Semilight"/>
    </font>
    <font>
      <sz val="11"/>
      <color theme="1"/>
      <name val="Segoe UI Emoji"/>
    </font>
    <font>
      <sz val="11"/>
      <color theme="1"/>
      <name val="Segoe UI Historic"/>
    </font>
    <font>
      <sz val="11"/>
      <color theme="0"/>
      <name val="Segoe UI Semilight"/>
      <family val="2"/>
    </font>
    <font>
      <sz val="11"/>
      <color theme="0"/>
      <name val="Segoe UI Historic"/>
      <family val="2"/>
    </font>
    <font>
      <sz val="11"/>
      <color theme="0"/>
      <name val="Segoe UI Emoji"/>
      <family val="2"/>
    </font>
  </fonts>
  <fills count="3">
    <fill>
      <patternFill patternType="none"/>
    </fill>
    <fill>
      <patternFill patternType="gray125"/>
    </fill>
    <fill>
      <patternFill patternType="solid">
        <fgColor rgb="FF282828"/>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33">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6" fillId="2" borderId="0" xfId="0" applyFont="1" applyFill="1"/>
    <xf numFmtId="0" fontId="0" fillId="2" borderId="0" xfId="0" applyFill="1"/>
    <xf numFmtId="0" fontId="7" fillId="0" borderId="0" xfId="0" applyFont="1"/>
    <xf numFmtId="0" fontId="10" fillId="0" borderId="0" xfId="0" applyFont="1"/>
    <xf numFmtId="0" fontId="8" fillId="0" borderId="0" xfId="0" applyFont="1"/>
    <xf numFmtId="165" fontId="8" fillId="0" borderId="0" xfId="1" applyNumberFormat="1" applyFont="1"/>
    <xf numFmtId="9" fontId="8" fillId="0" borderId="0" xfId="0" applyNumberFormat="1" applyFont="1"/>
    <xf numFmtId="9" fontId="9" fillId="0" borderId="0" xfId="2" applyFont="1"/>
    <xf numFmtId="164" fontId="7" fillId="0" borderId="0" xfId="0" applyNumberFormat="1" applyFont="1"/>
    <xf numFmtId="0" fontId="8" fillId="0" borderId="0" xfId="0" applyFont="1" applyAlignment="1">
      <alignment horizontal="left"/>
    </xf>
    <xf numFmtId="165" fontId="7" fillId="0" borderId="0" xfId="1" applyNumberFormat="1" applyFont="1"/>
    <xf numFmtId="0" fontId="7" fillId="0" borderId="0" xfId="0" applyFont="1" applyAlignment="1">
      <alignment horizontal="left"/>
    </xf>
    <xf numFmtId="0" fontId="10" fillId="0" borderId="0" xfId="0" applyFont="1" applyAlignment="1">
      <alignment horizontal="left"/>
    </xf>
    <xf numFmtId="9" fontId="5" fillId="0" borderId="0" xfId="0" applyNumberFormat="1" applyFont="1"/>
    <xf numFmtId="0" fontId="11" fillId="0" borderId="0" xfId="0" applyFont="1"/>
    <xf numFmtId="0" fontId="11" fillId="0" borderId="0" xfId="0" applyFont="1" applyAlignment="1">
      <alignment horizontal="left"/>
    </xf>
    <xf numFmtId="0" fontId="12" fillId="0" borderId="0" xfId="0" applyFont="1"/>
    <xf numFmtId="0" fontId="12" fillId="0" borderId="0" xfId="0" applyFont="1" applyAlignment="1">
      <alignment horizontal="left"/>
    </xf>
    <xf numFmtId="164" fontId="11" fillId="0" borderId="0" xfId="0" applyNumberFormat="1" applyFont="1"/>
    <xf numFmtId="0" fontId="13" fillId="0" borderId="0" xfId="0" applyFont="1"/>
    <xf numFmtId="0" fontId="13" fillId="0" borderId="0" xfId="0" applyFont="1" applyAlignment="1">
      <alignment horizontal="left"/>
    </xf>
    <xf numFmtId="165" fontId="11" fillId="0" borderId="0" xfId="0" applyNumberFormat="1" applyFont="1"/>
    <xf numFmtId="0" fontId="12" fillId="0" borderId="0" xfId="0" pivotButton="1" applyFont="1"/>
    <xf numFmtId="0" fontId="11" fillId="0" borderId="0" xfId="0" pivotButton="1" applyFont="1"/>
    <xf numFmtId="0" fontId="13" fillId="0" borderId="0" xfId="0" pivotButton="1" applyFont="1"/>
    <xf numFmtId="0" fontId="14" fillId="2" borderId="0" xfId="0" applyFont="1" applyFill="1" applyAlignment="1">
      <alignment horizontal="center"/>
    </xf>
    <xf numFmtId="0" fontId="14" fillId="2" borderId="0" xfId="0" applyFont="1" applyFill="1" applyAlignment="1">
      <alignment horizontal="center"/>
    </xf>
    <xf numFmtId="0" fontId="16" fillId="2" borderId="0" xfId="0" applyFont="1" applyFill="1" applyAlignment="1">
      <alignment horizontal="center"/>
    </xf>
    <xf numFmtId="0" fontId="15" fillId="2" borderId="0" xfId="0" applyFont="1" applyFill="1" applyAlignment="1">
      <alignment horizontal="center"/>
    </xf>
  </cellXfs>
  <cellStyles count="3">
    <cellStyle name="Comma" xfId="1" builtinId="3"/>
    <cellStyle name="Normal" xfId="0" builtinId="0"/>
    <cellStyle name="Per cent" xfId="2" builtinId="5"/>
  </cellStyles>
  <dxfs count="72">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name val="Segoe UI Emoji"/>
      </font>
    </dxf>
    <dxf>
      <font>
        <name val="Segoe UI Emoji"/>
      </font>
    </dxf>
    <dxf>
      <font>
        <name val="Segoe UI Emoji"/>
      </font>
    </dxf>
    <dxf>
      <font>
        <name val="Segoe UI Emoji"/>
      </font>
    </dxf>
    <dxf>
      <font>
        <name val="Segoe UI Emoji"/>
      </font>
    </dxf>
    <dxf>
      <font>
        <name val="Segoe UI Emoji"/>
      </font>
    </dxf>
    <dxf>
      <font>
        <name val="Segoe UI Emoji"/>
      </font>
    </dxf>
    <dxf>
      <font>
        <name val="Segoe UI Emoji"/>
      </font>
    </dxf>
    <dxf>
      <font>
        <name val="Segoe UI Emoji"/>
      </font>
    </dxf>
    <dxf>
      <font>
        <name val="Segoe UI Emoji"/>
      </font>
    </dxf>
    <dxf>
      <font>
        <name val="Segoe UI Semilight"/>
        <scheme val="none"/>
      </font>
    </dxf>
    <dxf>
      <font>
        <name val="Segoe UI Semilight"/>
        <scheme val="none"/>
      </font>
    </dxf>
    <dxf>
      <font>
        <name val="Segoe UI Semilight"/>
        <scheme val="none"/>
      </font>
    </dxf>
    <dxf>
      <font>
        <name val="Segoe UI Semilight"/>
        <scheme val="none"/>
      </font>
    </dxf>
    <dxf>
      <font>
        <name val="Segoe UI Semilight"/>
        <scheme val="none"/>
      </font>
    </dxf>
    <dxf>
      <font>
        <name val="Segoe UI Semilight"/>
        <scheme val="none"/>
      </font>
    </dxf>
    <dxf>
      <numFmt numFmtId="164" formatCode="0.0"/>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Emoji"/>
        <scheme val="none"/>
      </font>
    </dxf>
    <dxf>
      <font>
        <name val="Segoe UI Semilight"/>
        <scheme val="none"/>
      </font>
    </dxf>
    <dxf>
      <font>
        <name val="Segoe UI Semilight"/>
        <scheme val="none"/>
      </font>
    </dxf>
    <dxf>
      <font>
        <name val="Segoe UI Semilight"/>
        <scheme val="none"/>
      </font>
    </dxf>
    <dxf>
      <font>
        <name val="Segoe UI Semilight"/>
        <scheme val="none"/>
      </font>
    </dxf>
    <dxf>
      <font>
        <name val="Segoe UI Semilight"/>
        <scheme val="none"/>
      </font>
    </dxf>
    <dxf>
      <font>
        <name val="Segoe UI Semilight"/>
        <scheme val="none"/>
      </font>
    </dxf>
    <dxf>
      <font>
        <name val="Segoe UI Historic"/>
        <scheme val="none"/>
      </font>
    </dxf>
    <dxf>
      <font>
        <name val="Segoe UI Historic"/>
        <scheme val="none"/>
      </font>
    </dxf>
    <dxf>
      <font>
        <name val="Segoe UI Historic"/>
        <scheme val="none"/>
      </font>
    </dxf>
    <dxf>
      <font>
        <name val="Segoe UI Historic"/>
        <scheme val="none"/>
      </font>
    </dxf>
    <dxf>
      <font>
        <name val="Segoe UI Historic"/>
        <scheme val="none"/>
      </font>
    </dxf>
    <dxf>
      <font>
        <name val="Segoe UI Historic"/>
        <scheme val="none"/>
      </font>
    </dxf>
    <dxf>
      <numFmt numFmtId="165" formatCode="_ * #,##0_ ;_ * \-#,##0_ ;_ * &quot;-&quot;??_ ;_ @_ "/>
    </dxf>
    <dxf>
      <font>
        <name val="Segoe UI Semilight"/>
        <scheme val="none"/>
      </font>
    </dxf>
    <dxf>
      <font>
        <name val="Segoe UI Semilight"/>
        <scheme val="none"/>
      </font>
    </dxf>
    <dxf>
      <font>
        <name val="Segoe UI Semilight"/>
        <scheme val="none"/>
      </font>
    </dxf>
    <dxf>
      <font>
        <name val="Segoe UI Semilight"/>
        <scheme val="none"/>
      </font>
    </dxf>
    <dxf>
      <font>
        <name val="Segoe UI Semilight"/>
        <scheme val="none"/>
      </font>
    </dxf>
    <dxf>
      <font>
        <name val="Segoe UI Semilight"/>
        <scheme val="none"/>
      </font>
    </dxf>
    <dxf>
      <fill>
        <patternFill>
          <bgColor rgb="FF1F1F1F"/>
        </patternFill>
      </fill>
    </dxf>
  </dxfs>
  <tableStyles count="1" defaultTableStyle="TableStyleMedium2" defaultPivotStyle="PivotStyleLight16">
    <tableStyle name="Slicer Style 2" pivot="0" table="0" count="7" xr9:uid="{C24DFE2C-A3DA-44E9-8A07-F7BFCAA09407}">
      <tableStyleElement type="wholeTable" dxfId="71"/>
    </tableStyle>
  </tableStyles>
  <extLst>
    <ext xmlns:x14="http://schemas.microsoft.com/office/spreadsheetml/2009/9/main" uri="{46F421CA-312F-682f-3DD2-61675219B42D}">
      <x14:dxfs count="6">
        <dxf>
          <font>
            <color rgb="FF000000"/>
          </font>
          <fill>
            <patternFill>
              <fgColor rgb="FFE5B244"/>
              <bgColor rgb="FFE5B244"/>
            </patternFill>
          </fill>
        </dxf>
        <dxf>
          <font>
            <color rgb="FFE5B244"/>
          </font>
          <fill>
            <patternFill>
              <fgColor theme="1"/>
              <bgColor rgb="FF000000"/>
            </patternFill>
          </fill>
        </dxf>
        <dxf>
          <font>
            <color rgb="FFE5B244"/>
          </font>
          <fill>
            <patternFill>
              <fgColor theme="1"/>
              <bgColor rgb="FF000000"/>
            </patternFill>
          </fill>
        </dxf>
        <dxf>
          <font>
            <color rgb="FF1F1F1F"/>
          </font>
          <fill>
            <patternFill>
              <fgColor rgb="FFE5B244"/>
              <bgColor rgb="FFE5B244"/>
            </patternFill>
          </fill>
        </dxf>
        <dxf>
          <font>
            <color theme="1"/>
          </font>
          <fill>
            <patternFill>
              <fgColor rgb="FFE5B244"/>
              <bgColor rgb="FFE5B244"/>
            </patternFill>
          </fill>
        </dxf>
        <dxf>
          <font>
            <color rgb="FFE5B244"/>
          </font>
          <fill>
            <patternFill>
              <fgColor theme="1"/>
              <bgColor rgb="FF000000"/>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rgbClr val="282828"/>
              </a:solidFill>
            </a:ln>
          </c:spPr>
          <c:dPt>
            <c:idx val="0"/>
            <c:bubble3D val="0"/>
            <c:spPr>
              <a:solidFill>
                <a:srgbClr val="E5B244"/>
              </a:solidFill>
              <a:ln w="19050">
                <a:solidFill>
                  <a:srgbClr val="282828"/>
                </a:solidFill>
              </a:ln>
              <a:effectLst/>
            </c:spPr>
            <c:extLst>
              <c:ext xmlns:c16="http://schemas.microsoft.com/office/drawing/2014/chart" uri="{C3380CC4-5D6E-409C-BE32-E72D297353CC}">
                <c16:uniqueId val="{00000001-BA33-4436-96E3-C94FC7C689F6}"/>
              </c:ext>
            </c:extLst>
          </c:dPt>
          <c:dPt>
            <c:idx val="1"/>
            <c:bubble3D val="0"/>
            <c:spPr>
              <a:solidFill>
                <a:schemeClr val="tx1">
                  <a:lumMod val="75000"/>
                  <a:lumOff val="25000"/>
                </a:schemeClr>
              </a:solidFill>
              <a:ln w="19050">
                <a:solidFill>
                  <a:srgbClr val="282828"/>
                </a:solidFill>
              </a:ln>
              <a:effectLst/>
            </c:spPr>
            <c:extLst>
              <c:ext xmlns:c16="http://schemas.microsoft.com/office/drawing/2014/chart" uri="{C3380CC4-5D6E-409C-BE32-E72D297353CC}">
                <c16:uniqueId val="{00000003-BA33-4436-96E3-C94FC7C689F6}"/>
              </c:ext>
            </c:extLst>
          </c:dPt>
          <c:dPt>
            <c:idx val="2"/>
            <c:bubble3D val="0"/>
            <c:spPr>
              <a:solidFill>
                <a:schemeClr val="bg1"/>
              </a:solidFill>
              <a:ln w="19050">
                <a:solidFill>
                  <a:srgbClr val="282828"/>
                </a:solidFill>
              </a:ln>
              <a:effectLst/>
            </c:spPr>
            <c:extLst>
              <c:ext xmlns:c16="http://schemas.microsoft.com/office/drawing/2014/chart" uri="{C3380CC4-5D6E-409C-BE32-E72D297353CC}">
                <c16:uniqueId val="{00000005-BA33-4436-96E3-C94FC7C689F6}"/>
              </c:ext>
            </c:extLst>
          </c:dPt>
          <c:cat>
            <c:strRef>
              <c:f>'Pivot tables'!$B$11:$B$13</c:f>
              <c:strCache>
                <c:ptCount val="3"/>
                <c:pt idx="0">
                  <c:v>Contract</c:v>
                </c:pt>
                <c:pt idx="1">
                  <c:v>Full-Time</c:v>
                </c:pt>
                <c:pt idx="2">
                  <c:v>Part-Time</c:v>
                </c:pt>
              </c:strCache>
            </c:strRef>
          </c:cat>
          <c:val>
            <c:numRef>
              <c:f>'Pivot tables'!$C$11:$C$13</c:f>
              <c:numCache>
                <c:formatCode>General</c:formatCode>
                <c:ptCount val="3"/>
                <c:pt idx="0">
                  <c:v>17</c:v>
                </c:pt>
                <c:pt idx="1">
                  <c:v>20</c:v>
                </c:pt>
                <c:pt idx="2">
                  <c:v>13</c:v>
                </c:pt>
              </c:numCache>
            </c:numRef>
          </c:val>
          <c:extLst>
            <c:ext xmlns:c16="http://schemas.microsoft.com/office/drawing/2014/chart" uri="{C3380CC4-5D6E-409C-BE32-E72D297353CC}">
              <c16:uniqueId val="{00000006-BA33-4436-96E3-C94FC7C689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18-25</c:v>
              </c:pt>
              <c:pt idx="1">
                <c:v>26-35</c:v>
              </c:pt>
              <c:pt idx="2">
                <c:v>36-45</c:v>
              </c:pt>
              <c:pt idx="3">
                <c:v>46-55</c:v>
              </c:pt>
              <c:pt idx="4">
                <c:v>56 &lt;</c:v>
              </c:pt>
            </c:strLit>
          </c:cat>
          <c:val>
            <c:numLit>
              <c:formatCode>General</c:formatCode>
              <c:ptCount val="5"/>
              <c:pt idx="0">
                <c:v>6</c:v>
              </c:pt>
              <c:pt idx="1">
                <c:v>7</c:v>
              </c:pt>
              <c:pt idx="2">
                <c:v>5</c:v>
              </c:pt>
              <c:pt idx="3">
                <c:v>4</c:v>
              </c:pt>
              <c:pt idx="4">
                <c:v>4</c:v>
              </c:pt>
            </c:numLit>
          </c:val>
          <c:extLst>
            <c:ext xmlns:c16="http://schemas.microsoft.com/office/drawing/2014/chart" uri="{C3380CC4-5D6E-409C-BE32-E72D297353CC}">
              <c16:uniqueId val="{00000000-A062-4330-BEE4-00DB81CF473D}"/>
            </c:ext>
          </c:extLst>
        </c:ser>
        <c:ser>
          <c:idx val="1"/>
          <c:order val="1"/>
          <c:tx>
            <c:v>Male</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18-25</c:v>
              </c:pt>
              <c:pt idx="1">
                <c:v>26-35</c:v>
              </c:pt>
              <c:pt idx="2">
                <c:v>36-45</c:v>
              </c:pt>
              <c:pt idx="3">
                <c:v>46-55</c:v>
              </c:pt>
              <c:pt idx="4">
                <c:v>56 &lt;</c:v>
              </c:pt>
            </c:strLit>
          </c:cat>
          <c:val>
            <c:numLit>
              <c:formatCode>General</c:formatCode>
              <c:ptCount val="5"/>
              <c:pt idx="0">
                <c:v>3</c:v>
              </c:pt>
              <c:pt idx="1">
                <c:v>6</c:v>
              </c:pt>
              <c:pt idx="2">
                <c:v>7</c:v>
              </c:pt>
              <c:pt idx="3">
                <c:v>3</c:v>
              </c:pt>
              <c:pt idx="4">
                <c:v>5</c:v>
              </c:pt>
            </c:numLit>
          </c:val>
          <c:extLst>
            <c:ext xmlns:c16="http://schemas.microsoft.com/office/drawing/2014/chart" uri="{C3380CC4-5D6E-409C-BE32-E72D297353CC}">
              <c16:uniqueId val="{00000001-A062-4330-BEE4-00DB81CF473D}"/>
            </c:ext>
          </c:extLst>
        </c:ser>
        <c:dLbls>
          <c:showLegendKey val="0"/>
          <c:showVal val="0"/>
          <c:showCatName val="0"/>
          <c:showSerName val="0"/>
          <c:showPercent val="0"/>
          <c:showBubbleSize val="0"/>
        </c:dLbls>
        <c:gapWidth val="219"/>
        <c:overlap val="-27"/>
        <c:axId val="1037991472"/>
        <c:axId val="543802208"/>
      </c:barChart>
      <c:catAx>
        <c:axId val="10379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3802208"/>
        <c:crosses val="autoZero"/>
        <c:auto val="1"/>
        <c:lblAlgn val="ctr"/>
        <c:lblOffset val="100"/>
        <c:noMultiLvlLbl val="0"/>
      </c:catAx>
      <c:valAx>
        <c:axId val="543802208"/>
        <c:scaling>
          <c:orientation val="minMax"/>
        </c:scaling>
        <c:delete val="0"/>
        <c:axPos val="l"/>
        <c:majorGridlines>
          <c:spPr>
            <a:ln w="9525" cap="flat" cmpd="sng" algn="ctr">
              <a:solidFill>
                <a:srgbClr val="E5B244">
                  <a:alpha val="33000"/>
                </a:srgbClr>
              </a:soli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799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tables'!$P$11</c:f>
              <c:numCache>
                <c:formatCode>0%</c:formatCode>
                <c:ptCount val="1"/>
                <c:pt idx="0">
                  <c:v>0.46</c:v>
                </c:pt>
              </c:numCache>
            </c:numRef>
          </c:val>
          <c:extLst>
            <c:ext xmlns:c16="http://schemas.microsoft.com/office/drawing/2014/chart" uri="{C3380CC4-5D6E-409C-BE32-E72D297353CC}">
              <c16:uniqueId val="{00000000-FC29-465A-84B7-7FAAA43AFFEF}"/>
            </c:ext>
          </c:extLst>
        </c:ser>
        <c:ser>
          <c:idx val="1"/>
          <c:order val="1"/>
          <c:spPr>
            <a:solidFill>
              <a:srgbClr val="282828"/>
            </a:solidFill>
            <a:ln>
              <a:noFill/>
            </a:ln>
            <a:effectLst/>
          </c:spPr>
          <c:invertIfNegative val="0"/>
          <c:dPt>
            <c:idx val="0"/>
            <c:invertIfNegative val="0"/>
            <c:bubble3D val="0"/>
            <c:spPr>
              <a:solidFill>
                <a:srgbClr val="000000"/>
              </a:solidFill>
              <a:ln>
                <a:noFill/>
              </a:ln>
              <a:effectLst/>
            </c:spPr>
            <c:extLst>
              <c:ext xmlns:c16="http://schemas.microsoft.com/office/drawing/2014/chart" uri="{C3380CC4-5D6E-409C-BE32-E72D297353CC}">
                <c16:uniqueId val="{00000002-FC29-465A-84B7-7FAAA43AFFEF}"/>
              </c:ext>
            </c:extLst>
          </c:dPt>
          <c:val>
            <c:numRef>
              <c:f>'Pivot tables'!$Q$11</c:f>
              <c:numCache>
                <c:formatCode>0%</c:formatCode>
                <c:ptCount val="1"/>
                <c:pt idx="0">
                  <c:v>0.54</c:v>
                </c:pt>
              </c:numCache>
            </c:numRef>
          </c:val>
          <c:extLst>
            <c:ext xmlns:c16="http://schemas.microsoft.com/office/drawing/2014/chart" uri="{C3380CC4-5D6E-409C-BE32-E72D297353CC}">
              <c16:uniqueId val="{00000003-FC29-465A-84B7-7FAAA43AFFEF}"/>
            </c:ext>
          </c:extLst>
        </c:ser>
        <c:dLbls>
          <c:showLegendKey val="0"/>
          <c:showVal val="0"/>
          <c:showCatName val="0"/>
          <c:showSerName val="0"/>
          <c:showPercent val="0"/>
          <c:showBubbleSize val="0"/>
        </c:dLbls>
        <c:gapWidth val="150"/>
        <c:overlap val="100"/>
        <c:axId val="1064239832"/>
        <c:axId val="1064243432"/>
      </c:barChart>
      <c:catAx>
        <c:axId val="1064239832"/>
        <c:scaling>
          <c:orientation val="minMax"/>
        </c:scaling>
        <c:delete val="1"/>
        <c:axPos val="l"/>
        <c:majorTickMark val="none"/>
        <c:minorTickMark val="none"/>
        <c:tickLblPos val="nextTo"/>
        <c:crossAx val="1064243432"/>
        <c:crosses val="autoZero"/>
        <c:auto val="1"/>
        <c:lblAlgn val="ctr"/>
        <c:lblOffset val="100"/>
        <c:noMultiLvlLbl val="0"/>
      </c:catAx>
      <c:valAx>
        <c:axId val="1064243432"/>
        <c:scaling>
          <c:orientation val="minMax"/>
        </c:scaling>
        <c:delete val="1"/>
        <c:axPos val="b"/>
        <c:numFmt formatCode="0%" sourceLinked="1"/>
        <c:majorTickMark val="none"/>
        <c:minorTickMark val="none"/>
        <c:tickLblPos val="nextTo"/>
        <c:crossAx val="1064239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tables'!$P$12</c:f>
              <c:numCache>
                <c:formatCode>0%</c:formatCode>
                <c:ptCount val="1"/>
                <c:pt idx="0">
                  <c:v>0.16</c:v>
                </c:pt>
              </c:numCache>
            </c:numRef>
          </c:val>
          <c:extLst>
            <c:ext xmlns:c16="http://schemas.microsoft.com/office/drawing/2014/chart" uri="{C3380CC4-5D6E-409C-BE32-E72D297353CC}">
              <c16:uniqueId val="{00000000-0D1B-4985-A2E3-B6B703947FEF}"/>
            </c:ext>
          </c:extLst>
        </c:ser>
        <c:ser>
          <c:idx val="1"/>
          <c:order val="1"/>
          <c:spPr>
            <a:solidFill>
              <a:srgbClr val="000000"/>
            </a:solidFill>
            <a:ln>
              <a:noFill/>
            </a:ln>
            <a:effectLst/>
          </c:spPr>
          <c:invertIfNegative val="0"/>
          <c:val>
            <c:numRef>
              <c:f>'Pivot tables'!$Q$12</c:f>
              <c:numCache>
                <c:formatCode>0%</c:formatCode>
                <c:ptCount val="1"/>
                <c:pt idx="0">
                  <c:v>0.84</c:v>
                </c:pt>
              </c:numCache>
            </c:numRef>
          </c:val>
          <c:extLst>
            <c:ext xmlns:c16="http://schemas.microsoft.com/office/drawing/2014/chart" uri="{C3380CC4-5D6E-409C-BE32-E72D297353CC}">
              <c16:uniqueId val="{00000001-0D1B-4985-A2E3-B6B703947FEF}"/>
            </c:ext>
          </c:extLst>
        </c:ser>
        <c:dLbls>
          <c:showLegendKey val="0"/>
          <c:showVal val="0"/>
          <c:showCatName val="0"/>
          <c:showSerName val="0"/>
          <c:showPercent val="0"/>
          <c:showBubbleSize val="0"/>
        </c:dLbls>
        <c:gapWidth val="150"/>
        <c:overlap val="100"/>
        <c:axId val="669181432"/>
        <c:axId val="669182872"/>
      </c:barChart>
      <c:catAx>
        <c:axId val="669181432"/>
        <c:scaling>
          <c:orientation val="minMax"/>
        </c:scaling>
        <c:delete val="1"/>
        <c:axPos val="l"/>
        <c:majorTickMark val="none"/>
        <c:minorTickMark val="none"/>
        <c:tickLblPos val="nextTo"/>
        <c:crossAx val="669182872"/>
        <c:crosses val="autoZero"/>
        <c:auto val="1"/>
        <c:lblAlgn val="ctr"/>
        <c:lblOffset val="100"/>
        <c:noMultiLvlLbl val="0"/>
      </c:catAx>
      <c:valAx>
        <c:axId val="669182872"/>
        <c:scaling>
          <c:orientation val="minMax"/>
        </c:scaling>
        <c:delete val="1"/>
        <c:axPos val="b"/>
        <c:numFmt formatCode="0%" sourceLinked="1"/>
        <c:majorTickMark val="none"/>
        <c:minorTickMark val="none"/>
        <c:tickLblPos val="nextTo"/>
        <c:crossAx val="669181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tables'!$P$13</c:f>
              <c:numCache>
                <c:formatCode>0%</c:formatCode>
                <c:ptCount val="1"/>
                <c:pt idx="0">
                  <c:v>0.38</c:v>
                </c:pt>
              </c:numCache>
            </c:numRef>
          </c:val>
          <c:extLst>
            <c:ext xmlns:c16="http://schemas.microsoft.com/office/drawing/2014/chart" uri="{C3380CC4-5D6E-409C-BE32-E72D297353CC}">
              <c16:uniqueId val="{00000000-F3B7-4BA7-A6B8-908BA985C08F}"/>
            </c:ext>
          </c:extLst>
        </c:ser>
        <c:ser>
          <c:idx val="1"/>
          <c:order val="1"/>
          <c:spPr>
            <a:solidFill>
              <a:srgbClr val="000000"/>
            </a:solidFill>
            <a:ln>
              <a:noFill/>
            </a:ln>
            <a:effectLst/>
          </c:spPr>
          <c:invertIfNegative val="0"/>
          <c:val>
            <c:numRef>
              <c:f>'Pivot tables'!$Q$13</c:f>
              <c:numCache>
                <c:formatCode>0%</c:formatCode>
                <c:ptCount val="1"/>
                <c:pt idx="0">
                  <c:v>0.62</c:v>
                </c:pt>
              </c:numCache>
            </c:numRef>
          </c:val>
          <c:extLst>
            <c:ext xmlns:c16="http://schemas.microsoft.com/office/drawing/2014/chart" uri="{C3380CC4-5D6E-409C-BE32-E72D297353CC}">
              <c16:uniqueId val="{00000001-F3B7-4BA7-A6B8-908BA985C08F}"/>
            </c:ext>
          </c:extLst>
        </c:ser>
        <c:dLbls>
          <c:showLegendKey val="0"/>
          <c:showVal val="0"/>
          <c:showCatName val="0"/>
          <c:showSerName val="0"/>
          <c:showPercent val="0"/>
          <c:showBubbleSize val="0"/>
        </c:dLbls>
        <c:gapWidth val="150"/>
        <c:overlap val="100"/>
        <c:axId val="418329696"/>
        <c:axId val="418328256"/>
      </c:barChart>
      <c:catAx>
        <c:axId val="418329696"/>
        <c:scaling>
          <c:orientation val="minMax"/>
        </c:scaling>
        <c:delete val="1"/>
        <c:axPos val="l"/>
        <c:majorTickMark val="none"/>
        <c:minorTickMark val="none"/>
        <c:tickLblPos val="nextTo"/>
        <c:crossAx val="418328256"/>
        <c:crosses val="autoZero"/>
        <c:auto val="1"/>
        <c:lblAlgn val="ctr"/>
        <c:lblOffset val="100"/>
        <c:noMultiLvlLbl val="0"/>
      </c:catAx>
      <c:valAx>
        <c:axId val="418328256"/>
        <c:scaling>
          <c:orientation val="minMax"/>
        </c:scaling>
        <c:delete val="1"/>
        <c:axPos val="b"/>
        <c:numFmt formatCode="0%" sourceLinked="1"/>
        <c:majorTickMark val="none"/>
        <c:minorTickMark val="none"/>
        <c:tickLblPos val="nextTo"/>
        <c:crossAx val="4183296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C8DD-439B-B85D-8244B5E1D19A}"/>
              </c:ext>
            </c:extLst>
          </c:dPt>
          <c:dPt>
            <c:idx val="1"/>
            <c:bubble3D val="0"/>
            <c:spPr>
              <a:solidFill>
                <a:srgbClr val="000000"/>
              </a:solidFill>
              <a:ln w="19050">
                <a:noFill/>
              </a:ln>
              <a:effectLst/>
            </c:spPr>
            <c:extLst>
              <c:ext xmlns:c16="http://schemas.microsoft.com/office/drawing/2014/chart" uri="{C3380CC4-5D6E-409C-BE32-E72D297353CC}">
                <c16:uniqueId val="{00000003-C8DD-439B-B85D-8244B5E1D19A}"/>
              </c:ext>
            </c:extLst>
          </c:dPt>
          <c:val>
            <c:numRef>
              <c:f>'Pivot tables'!$K$22:$L$22</c:f>
              <c:numCache>
                <c:formatCode>0%</c:formatCode>
                <c:ptCount val="2"/>
                <c:pt idx="0">
                  <c:v>0.48</c:v>
                </c:pt>
                <c:pt idx="1">
                  <c:v>0.52</c:v>
                </c:pt>
              </c:numCache>
            </c:numRef>
          </c:val>
          <c:extLst>
            <c:ext xmlns:c16="http://schemas.microsoft.com/office/drawing/2014/chart" uri="{C3380CC4-5D6E-409C-BE32-E72D297353CC}">
              <c16:uniqueId val="{00000004-C8DD-439B-B85D-8244B5E1D19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5B244"/>
              </a:solidFill>
              <a:ln w="19050">
                <a:noFill/>
              </a:ln>
              <a:effectLst/>
            </c:spPr>
            <c:extLst>
              <c:ext xmlns:c16="http://schemas.microsoft.com/office/drawing/2014/chart" uri="{C3380CC4-5D6E-409C-BE32-E72D297353CC}">
                <c16:uniqueId val="{00000001-90A4-4F7D-9D35-673BE51748B8}"/>
              </c:ext>
            </c:extLst>
          </c:dPt>
          <c:dPt>
            <c:idx val="1"/>
            <c:bubble3D val="0"/>
            <c:spPr>
              <a:solidFill>
                <a:srgbClr val="000000"/>
              </a:solidFill>
              <a:ln w="19050">
                <a:noFill/>
              </a:ln>
              <a:effectLst/>
            </c:spPr>
            <c:extLst>
              <c:ext xmlns:c16="http://schemas.microsoft.com/office/drawing/2014/chart" uri="{C3380CC4-5D6E-409C-BE32-E72D297353CC}">
                <c16:uniqueId val="{00000003-90A4-4F7D-9D35-673BE51748B8}"/>
              </c:ext>
            </c:extLst>
          </c:dPt>
          <c:val>
            <c:numRef>
              <c:f>'Pivot tables'!$K$23:$L$23</c:f>
              <c:numCache>
                <c:formatCode>0%</c:formatCode>
                <c:ptCount val="2"/>
                <c:pt idx="0">
                  <c:v>0.52</c:v>
                </c:pt>
                <c:pt idx="1">
                  <c:v>0.48</c:v>
                </c:pt>
              </c:numCache>
            </c:numRef>
          </c:val>
          <c:extLst>
            <c:ext xmlns:c16="http://schemas.microsoft.com/office/drawing/2014/chart" uri="{C3380CC4-5D6E-409C-BE32-E72D297353CC}">
              <c16:uniqueId val="{00000004-90A4-4F7D-9D35-673BE51748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tables'!$E$13</c:f>
              <c:strCache>
                <c:ptCount val="1"/>
                <c:pt idx="0">
                  <c:v>Analyst</c:v>
                </c:pt>
              </c:strCache>
            </c:strRef>
          </c:tx>
          <c:spPr>
            <a:solidFill>
              <a:srgbClr val="CC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tables'!$G$13</c:f>
              <c:numCache>
                <c:formatCode>_ * #,##0_ ;_ * \-#,##0_ ;_ * "-"??_ ;_ @_ </c:formatCode>
                <c:ptCount val="1"/>
                <c:pt idx="0">
                  <c:v>28</c:v>
                </c:pt>
              </c:numCache>
            </c:numRef>
          </c:val>
          <c:extLst>
            <c:ext xmlns:c16="http://schemas.microsoft.com/office/drawing/2014/chart" uri="{C3380CC4-5D6E-409C-BE32-E72D297353CC}">
              <c16:uniqueId val="{00000000-1CBB-4CB3-A9B9-5B30DE67AC31}"/>
            </c:ext>
          </c:extLst>
        </c:ser>
        <c:ser>
          <c:idx val="1"/>
          <c:order val="1"/>
          <c:tx>
            <c:strRef>
              <c:f>'Pivot tables'!$E$14</c:f>
              <c:strCache>
                <c:ptCount val="1"/>
                <c:pt idx="0">
                  <c:v>Designer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tables'!$G$14</c:f>
              <c:numCache>
                <c:formatCode>_ * #,##0_ ;_ * \-#,##0_ ;_ * "-"??_ ;_ @_ </c:formatCode>
                <c:ptCount val="1"/>
                <c:pt idx="0">
                  <c:v>110</c:v>
                </c:pt>
              </c:numCache>
            </c:numRef>
          </c:val>
          <c:extLst>
            <c:ext xmlns:c16="http://schemas.microsoft.com/office/drawing/2014/chart" uri="{C3380CC4-5D6E-409C-BE32-E72D297353CC}">
              <c16:uniqueId val="{00000001-1CBB-4CB3-A9B9-5B30DE67AC31}"/>
            </c:ext>
          </c:extLst>
        </c:ser>
        <c:ser>
          <c:idx val="2"/>
          <c:order val="2"/>
          <c:tx>
            <c:strRef>
              <c:f>'Pivot tables'!$E$15</c:f>
              <c:strCache>
                <c:ptCount val="1"/>
                <c:pt idx="0">
                  <c:v>Developer</c:v>
                </c:pt>
              </c:strCache>
            </c:strRef>
          </c:tx>
          <c:spPr>
            <a:solidFill>
              <a:srgbClr val="EEF5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tables'!$G$15</c:f>
              <c:numCache>
                <c:formatCode>_ * #,##0_ ;_ * \-#,##0_ ;_ * "-"??_ ;_ @_ </c:formatCode>
                <c:ptCount val="1"/>
                <c:pt idx="0">
                  <c:v>104</c:v>
                </c:pt>
              </c:numCache>
            </c:numRef>
          </c:val>
          <c:extLst>
            <c:ext xmlns:c16="http://schemas.microsoft.com/office/drawing/2014/chart" uri="{C3380CC4-5D6E-409C-BE32-E72D297353CC}">
              <c16:uniqueId val="{00000002-1CBB-4CB3-A9B9-5B30DE67AC31}"/>
            </c:ext>
          </c:extLst>
        </c:ser>
        <c:ser>
          <c:idx val="3"/>
          <c:order val="3"/>
          <c:tx>
            <c:strRef>
              <c:f>'Pivot tables'!$E$16</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tables'!$G$16</c:f>
              <c:numCache>
                <c:formatCode>_ * #,##0_ ;_ * \-#,##0_ ;_ * "-"??_ ;_ @_ </c:formatCode>
                <c:ptCount val="1"/>
                <c:pt idx="0">
                  <c:v>123</c:v>
                </c:pt>
              </c:numCache>
            </c:numRef>
          </c:val>
          <c:extLst>
            <c:ext xmlns:c16="http://schemas.microsoft.com/office/drawing/2014/chart" uri="{C3380CC4-5D6E-409C-BE32-E72D297353CC}">
              <c16:uniqueId val="{00000003-1CBB-4CB3-A9B9-5B30DE67AC31}"/>
            </c:ext>
          </c:extLst>
        </c:ser>
        <c:ser>
          <c:idx val="4"/>
          <c:order val="4"/>
          <c:tx>
            <c:strRef>
              <c:f>'Pivot tables'!$E$17</c:f>
              <c:strCache>
                <c:ptCount val="1"/>
                <c:pt idx="0">
                  <c:v>Manager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tables'!$G$17</c:f>
              <c:numCache>
                <c:formatCode>_ * #,##0_ ;_ * \-#,##0_ ;_ * "-"??_ ;_ @_ </c:formatCode>
                <c:ptCount val="1"/>
                <c:pt idx="0">
                  <c:v>122</c:v>
                </c:pt>
              </c:numCache>
            </c:numRef>
          </c:val>
          <c:extLst>
            <c:ext xmlns:c16="http://schemas.microsoft.com/office/drawing/2014/chart" uri="{C3380CC4-5D6E-409C-BE32-E72D297353CC}">
              <c16:uniqueId val="{00000004-1CBB-4CB3-A9B9-5B30DE67AC31}"/>
            </c:ext>
          </c:extLst>
        </c:ser>
        <c:dLbls>
          <c:dLblPos val="outEnd"/>
          <c:showLegendKey val="0"/>
          <c:showVal val="1"/>
          <c:showCatName val="0"/>
          <c:showSerName val="0"/>
          <c:showPercent val="0"/>
          <c:showBubbleSize val="0"/>
        </c:dLbls>
        <c:gapWidth val="219"/>
        <c:overlap val="-27"/>
        <c:axId val="1152979600"/>
        <c:axId val="1152979960"/>
      </c:barChart>
      <c:catAx>
        <c:axId val="1152979600"/>
        <c:scaling>
          <c:orientation val="minMax"/>
        </c:scaling>
        <c:delete val="1"/>
        <c:axPos val="b"/>
        <c:numFmt formatCode="General" sourceLinked="1"/>
        <c:majorTickMark val="none"/>
        <c:minorTickMark val="none"/>
        <c:tickLblPos val="nextTo"/>
        <c:crossAx val="1152979960"/>
        <c:crosses val="autoZero"/>
        <c:auto val="1"/>
        <c:lblAlgn val="ctr"/>
        <c:lblOffset val="100"/>
        <c:noMultiLvlLbl val="0"/>
      </c:catAx>
      <c:valAx>
        <c:axId val="1152979960"/>
        <c:scaling>
          <c:orientation val="minMax"/>
        </c:scaling>
        <c:delete val="1"/>
        <c:axPos val="l"/>
        <c:majorGridlines>
          <c:spPr>
            <a:ln w="9525" cap="flat" cmpd="sng" algn="ctr">
              <a:solidFill>
                <a:schemeClr val="tx1">
                  <a:lumMod val="15000"/>
                  <a:lumOff val="85000"/>
                  <a:alpha val="12000"/>
                </a:schemeClr>
              </a:solidFill>
              <a:prstDash val="sysDash"/>
              <a:round/>
            </a:ln>
            <a:effectLst/>
          </c:spPr>
        </c:majorGridlines>
        <c:numFmt formatCode="_ * #,##0_ ;_ * \-#,##0_ ;_ * &quot;-&quot;??_ ;_ @_ " sourceLinked="1"/>
        <c:majorTickMark val="none"/>
        <c:minorTickMark val="none"/>
        <c:tickLblPos val="nextTo"/>
        <c:crossAx val="115297960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Central</c:v>
              </c:pt>
              <c:pt idx="1">
                <c:v>East</c:v>
              </c:pt>
              <c:pt idx="2">
                <c:v>North</c:v>
              </c:pt>
              <c:pt idx="3">
                <c:v>South</c:v>
              </c:pt>
              <c:pt idx="4">
                <c:v>West</c:v>
              </c:pt>
            </c:strLit>
          </c:cat>
          <c:val>
            <c:numLit>
              <c:formatCode>General</c:formatCode>
              <c:ptCount val="5"/>
              <c:pt idx="0">
                <c:v>14</c:v>
              </c:pt>
              <c:pt idx="1">
                <c:v>10</c:v>
              </c:pt>
              <c:pt idx="2">
                <c:v>7</c:v>
              </c:pt>
              <c:pt idx="3">
                <c:v>10</c:v>
              </c:pt>
              <c:pt idx="4">
                <c:v>9</c:v>
              </c:pt>
            </c:numLit>
          </c:val>
          <c:extLst>
            <c:ext xmlns:c16="http://schemas.microsoft.com/office/drawing/2014/chart" uri="{C3380CC4-5D6E-409C-BE32-E72D297353CC}">
              <c16:uniqueId val="{00000000-3577-4F1D-826C-5F403448BC5D}"/>
            </c:ext>
          </c:extLst>
        </c:ser>
        <c:dLbls>
          <c:dLblPos val="outEnd"/>
          <c:showLegendKey val="0"/>
          <c:showVal val="1"/>
          <c:showCatName val="0"/>
          <c:showSerName val="0"/>
          <c:showPercent val="0"/>
          <c:showBubbleSize val="0"/>
        </c:dLbls>
        <c:gapWidth val="25"/>
        <c:axId val="686301136"/>
        <c:axId val="686297896"/>
      </c:barChart>
      <c:catAx>
        <c:axId val="68630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6297896"/>
        <c:crosses val="autoZero"/>
        <c:auto val="1"/>
        <c:lblAlgn val="ctr"/>
        <c:lblOffset val="100"/>
        <c:noMultiLvlLbl val="0"/>
      </c:catAx>
      <c:valAx>
        <c:axId val="686297896"/>
        <c:scaling>
          <c:orientation val="minMax"/>
        </c:scaling>
        <c:delete val="1"/>
        <c:axPos val="b"/>
        <c:numFmt formatCode="General" sourceLinked="1"/>
        <c:majorTickMark val="none"/>
        <c:minorTickMark val="none"/>
        <c:tickLblPos val="nextTo"/>
        <c:crossAx val="68630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0">
          <a:solidFill>
            <a:schemeClr val="bg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163229</xdr:colOff>
      <xdr:row>0</xdr:row>
      <xdr:rowOff>88231</xdr:rowOff>
    </xdr:from>
    <xdr:to>
      <xdr:col>17</xdr:col>
      <xdr:colOff>240029</xdr:colOff>
      <xdr:row>29</xdr:row>
      <xdr:rowOff>74517</xdr:rowOff>
    </xdr:to>
    <xdr:sp macro="" textlink="">
      <xdr:nvSpPr>
        <xdr:cNvPr id="2" name="Rectangle: Rounded Corners 1">
          <a:extLst>
            <a:ext uri="{FF2B5EF4-FFF2-40B4-BE49-F238E27FC236}">
              <a16:creationId xmlns:a16="http://schemas.microsoft.com/office/drawing/2014/main" id="{20B9B59B-4A07-4B4D-9D2C-AF0ADF4C9D41}"/>
            </a:ext>
          </a:extLst>
        </xdr:cNvPr>
        <xdr:cNvSpPr/>
      </xdr:nvSpPr>
      <xdr:spPr>
        <a:xfrm>
          <a:off x="163229" y="88231"/>
          <a:ext cx="10440000" cy="5289806"/>
        </a:xfrm>
        <a:prstGeom prst="roundRect">
          <a:avLst>
            <a:gd name="adj" fmla="val 4247"/>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320040</xdr:colOff>
      <xdr:row>17</xdr:row>
      <xdr:rowOff>97146</xdr:rowOff>
    </xdr:from>
    <xdr:to>
      <xdr:col>12</xdr:col>
      <xdr:colOff>329640</xdr:colOff>
      <xdr:row>28</xdr:row>
      <xdr:rowOff>67063</xdr:rowOff>
    </xdr:to>
    <xdr:sp macro="" textlink="">
      <xdr:nvSpPr>
        <xdr:cNvPr id="3" name="Rectangle: Rounded Corners 2">
          <a:extLst>
            <a:ext uri="{FF2B5EF4-FFF2-40B4-BE49-F238E27FC236}">
              <a16:creationId xmlns:a16="http://schemas.microsoft.com/office/drawing/2014/main" id="{2A7940C0-4911-48EB-8F2C-D066324EF632}"/>
            </a:ext>
          </a:extLst>
        </xdr:cNvPr>
        <xdr:cNvSpPr/>
      </xdr:nvSpPr>
      <xdr:spPr>
        <a:xfrm>
          <a:off x="5196840" y="3206106"/>
          <a:ext cx="2448000" cy="1981597"/>
        </a:xfrm>
        <a:prstGeom prst="roundRect">
          <a:avLst>
            <a:gd name="adj" fmla="val 412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396240</xdr:colOff>
      <xdr:row>26</xdr:row>
      <xdr:rowOff>117565</xdr:rowOff>
    </xdr:from>
    <xdr:to>
      <xdr:col>12</xdr:col>
      <xdr:colOff>257040</xdr:colOff>
      <xdr:row>27</xdr:row>
      <xdr:rowOff>120205</xdr:rowOff>
    </xdr:to>
    <xdr:sp macro="" textlink="">
      <xdr:nvSpPr>
        <xdr:cNvPr id="4" name="Rectangle: Rounded Corners 3">
          <a:extLst>
            <a:ext uri="{FF2B5EF4-FFF2-40B4-BE49-F238E27FC236}">
              <a16:creationId xmlns:a16="http://schemas.microsoft.com/office/drawing/2014/main" id="{8AF5251B-DA90-4FE4-821D-0E0846BA8594}"/>
            </a:ext>
          </a:extLst>
        </xdr:cNvPr>
        <xdr:cNvSpPr/>
      </xdr:nvSpPr>
      <xdr:spPr>
        <a:xfrm>
          <a:off x="6492240" y="4872445"/>
          <a:ext cx="1080000" cy="1855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25</xdr:row>
      <xdr:rowOff>81858</xdr:rowOff>
    </xdr:from>
    <xdr:to>
      <xdr:col>12</xdr:col>
      <xdr:colOff>257040</xdr:colOff>
      <xdr:row>26</xdr:row>
      <xdr:rowOff>84498</xdr:rowOff>
    </xdr:to>
    <xdr:sp macro="" textlink="">
      <xdr:nvSpPr>
        <xdr:cNvPr id="5" name="Rectangle: Rounded Corners 4">
          <a:extLst>
            <a:ext uri="{FF2B5EF4-FFF2-40B4-BE49-F238E27FC236}">
              <a16:creationId xmlns:a16="http://schemas.microsoft.com/office/drawing/2014/main" id="{2C1AB2EB-A2FB-42E2-8790-34527A60CA81}"/>
            </a:ext>
          </a:extLst>
        </xdr:cNvPr>
        <xdr:cNvSpPr/>
      </xdr:nvSpPr>
      <xdr:spPr>
        <a:xfrm>
          <a:off x="6492240" y="4653858"/>
          <a:ext cx="1080000" cy="1855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24</xdr:row>
      <xdr:rowOff>46153</xdr:rowOff>
    </xdr:from>
    <xdr:to>
      <xdr:col>12</xdr:col>
      <xdr:colOff>257040</xdr:colOff>
      <xdr:row>25</xdr:row>
      <xdr:rowOff>48793</xdr:rowOff>
    </xdr:to>
    <xdr:sp macro="" textlink="">
      <xdr:nvSpPr>
        <xdr:cNvPr id="6" name="Rectangle: Rounded Corners 5">
          <a:extLst>
            <a:ext uri="{FF2B5EF4-FFF2-40B4-BE49-F238E27FC236}">
              <a16:creationId xmlns:a16="http://schemas.microsoft.com/office/drawing/2014/main" id="{F723FE78-A297-41C5-8A29-4577D0365A9A}"/>
            </a:ext>
          </a:extLst>
        </xdr:cNvPr>
        <xdr:cNvSpPr/>
      </xdr:nvSpPr>
      <xdr:spPr>
        <a:xfrm>
          <a:off x="6492240" y="4435273"/>
          <a:ext cx="1080000" cy="1855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23</xdr:row>
      <xdr:rowOff>10448</xdr:rowOff>
    </xdr:from>
    <xdr:to>
      <xdr:col>12</xdr:col>
      <xdr:colOff>257040</xdr:colOff>
      <xdr:row>24</xdr:row>
      <xdr:rowOff>13088</xdr:rowOff>
    </xdr:to>
    <xdr:sp macro="" textlink="">
      <xdr:nvSpPr>
        <xdr:cNvPr id="7" name="Rectangle: Rounded Corners 6">
          <a:extLst>
            <a:ext uri="{FF2B5EF4-FFF2-40B4-BE49-F238E27FC236}">
              <a16:creationId xmlns:a16="http://schemas.microsoft.com/office/drawing/2014/main" id="{080A9F22-2BD1-410A-9C36-1025C3E60B2D}"/>
            </a:ext>
          </a:extLst>
        </xdr:cNvPr>
        <xdr:cNvSpPr/>
      </xdr:nvSpPr>
      <xdr:spPr>
        <a:xfrm>
          <a:off x="6492240" y="4216688"/>
          <a:ext cx="1080000" cy="1855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21</xdr:row>
      <xdr:rowOff>188103</xdr:rowOff>
    </xdr:from>
    <xdr:to>
      <xdr:col>12</xdr:col>
      <xdr:colOff>257040</xdr:colOff>
      <xdr:row>22</xdr:row>
      <xdr:rowOff>190743</xdr:rowOff>
    </xdr:to>
    <xdr:sp macro="" textlink="">
      <xdr:nvSpPr>
        <xdr:cNvPr id="8" name="Rectangle: Rounded Corners 7">
          <a:extLst>
            <a:ext uri="{FF2B5EF4-FFF2-40B4-BE49-F238E27FC236}">
              <a16:creationId xmlns:a16="http://schemas.microsoft.com/office/drawing/2014/main" id="{F811354A-BA3E-41AA-9B70-C32A32F8BE07}"/>
            </a:ext>
          </a:extLst>
        </xdr:cNvPr>
        <xdr:cNvSpPr/>
      </xdr:nvSpPr>
      <xdr:spPr>
        <a:xfrm>
          <a:off x="6492240" y="4020963"/>
          <a:ext cx="1080000" cy="1855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20</xdr:row>
      <xdr:rowOff>152398</xdr:rowOff>
    </xdr:from>
    <xdr:to>
      <xdr:col>12</xdr:col>
      <xdr:colOff>257040</xdr:colOff>
      <xdr:row>21</xdr:row>
      <xdr:rowOff>155038</xdr:rowOff>
    </xdr:to>
    <xdr:sp macro="" textlink="">
      <xdr:nvSpPr>
        <xdr:cNvPr id="9" name="Rectangle: Rounded Corners 8">
          <a:extLst>
            <a:ext uri="{FF2B5EF4-FFF2-40B4-BE49-F238E27FC236}">
              <a16:creationId xmlns:a16="http://schemas.microsoft.com/office/drawing/2014/main" id="{692461BB-4107-4496-84DB-CC0947EF420C}"/>
            </a:ext>
          </a:extLst>
        </xdr:cNvPr>
        <xdr:cNvSpPr/>
      </xdr:nvSpPr>
      <xdr:spPr>
        <a:xfrm>
          <a:off x="6492240" y="3809998"/>
          <a:ext cx="1080000" cy="18552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287384</xdr:colOff>
      <xdr:row>19</xdr:row>
      <xdr:rowOff>206222</xdr:rowOff>
    </xdr:from>
    <xdr:to>
      <xdr:col>3</xdr:col>
      <xdr:colOff>366584</xdr:colOff>
      <xdr:row>28</xdr:row>
      <xdr:rowOff>67063</xdr:rowOff>
    </xdr:to>
    <xdr:sp macro="" textlink="">
      <xdr:nvSpPr>
        <xdr:cNvPr id="10" name="Rectangle: Rounded Corners 9">
          <a:extLst>
            <a:ext uri="{FF2B5EF4-FFF2-40B4-BE49-F238E27FC236}">
              <a16:creationId xmlns:a16="http://schemas.microsoft.com/office/drawing/2014/main" id="{173E65EE-B81D-484A-A3CE-2BF57AA00D7B}"/>
            </a:ext>
          </a:extLst>
        </xdr:cNvPr>
        <xdr:cNvSpPr/>
      </xdr:nvSpPr>
      <xdr:spPr>
        <a:xfrm>
          <a:off x="287384" y="3658082"/>
          <a:ext cx="1908000" cy="1529621"/>
        </a:xfrm>
        <a:prstGeom prst="roundRect">
          <a:avLst>
            <a:gd name="adj" fmla="val 475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298270</xdr:colOff>
      <xdr:row>5</xdr:row>
      <xdr:rowOff>114301</xdr:rowOff>
    </xdr:from>
    <xdr:to>
      <xdr:col>3</xdr:col>
      <xdr:colOff>377470</xdr:colOff>
      <xdr:row>19</xdr:row>
      <xdr:rowOff>85832</xdr:rowOff>
    </xdr:to>
    <xdr:sp macro="" textlink="">
      <xdr:nvSpPr>
        <xdr:cNvPr id="11" name="Rectangle: Rounded Corners 10">
          <a:extLst>
            <a:ext uri="{FF2B5EF4-FFF2-40B4-BE49-F238E27FC236}">
              <a16:creationId xmlns:a16="http://schemas.microsoft.com/office/drawing/2014/main" id="{2AEFE0D0-25F4-42E5-8F78-C0CD4CD6FEA1}"/>
            </a:ext>
          </a:extLst>
        </xdr:cNvPr>
        <xdr:cNvSpPr/>
      </xdr:nvSpPr>
      <xdr:spPr>
        <a:xfrm>
          <a:off x="298270" y="1028701"/>
          <a:ext cx="1908000" cy="2531851"/>
        </a:xfrm>
        <a:prstGeom prst="roundRect">
          <a:avLst>
            <a:gd name="adj" fmla="val 437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28304</xdr:colOff>
      <xdr:row>17</xdr:row>
      <xdr:rowOff>97146</xdr:rowOff>
    </xdr:from>
    <xdr:to>
      <xdr:col>8</xdr:col>
      <xdr:colOff>37904</xdr:colOff>
      <xdr:row>28</xdr:row>
      <xdr:rowOff>67063</xdr:rowOff>
    </xdr:to>
    <xdr:sp macro="" textlink="">
      <xdr:nvSpPr>
        <xdr:cNvPr id="12" name="Rectangle: Rounded Corners 11">
          <a:extLst>
            <a:ext uri="{FF2B5EF4-FFF2-40B4-BE49-F238E27FC236}">
              <a16:creationId xmlns:a16="http://schemas.microsoft.com/office/drawing/2014/main" id="{BE884F40-52F9-493A-B7E4-E4F190D47211}"/>
            </a:ext>
          </a:extLst>
        </xdr:cNvPr>
        <xdr:cNvSpPr/>
      </xdr:nvSpPr>
      <xdr:spPr>
        <a:xfrm>
          <a:off x="2466704" y="3206106"/>
          <a:ext cx="2448000" cy="1981597"/>
        </a:xfrm>
        <a:prstGeom prst="roundRect">
          <a:avLst>
            <a:gd name="adj" fmla="val 36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320040</xdr:colOff>
      <xdr:row>5</xdr:row>
      <xdr:rowOff>129540</xdr:rowOff>
    </xdr:from>
    <xdr:to>
      <xdr:col>12</xdr:col>
      <xdr:colOff>329640</xdr:colOff>
      <xdr:row>16</xdr:row>
      <xdr:rowOff>99457</xdr:rowOff>
    </xdr:to>
    <xdr:sp macro="" textlink="">
      <xdr:nvSpPr>
        <xdr:cNvPr id="13" name="Rectangle: Rounded Corners 12">
          <a:extLst>
            <a:ext uri="{FF2B5EF4-FFF2-40B4-BE49-F238E27FC236}">
              <a16:creationId xmlns:a16="http://schemas.microsoft.com/office/drawing/2014/main" id="{6C31BA70-2A77-4B7F-B52D-5E05F4BC8B38}"/>
            </a:ext>
          </a:extLst>
        </xdr:cNvPr>
        <xdr:cNvSpPr/>
      </xdr:nvSpPr>
      <xdr:spPr>
        <a:xfrm>
          <a:off x="5196840" y="1043940"/>
          <a:ext cx="2448000" cy="1981597"/>
        </a:xfrm>
        <a:prstGeom prst="roundRect">
          <a:avLst>
            <a:gd name="adj" fmla="val 390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68580</xdr:colOff>
      <xdr:row>11</xdr:row>
      <xdr:rowOff>114300</xdr:rowOff>
    </xdr:from>
    <xdr:to>
      <xdr:col>8</xdr:col>
      <xdr:colOff>19380</xdr:colOff>
      <xdr:row>16</xdr:row>
      <xdr:rowOff>116990</xdr:rowOff>
    </xdr:to>
    <xdr:sp macro="" textlink="">
      <xdr:nvSpPr>
        <xdr:cNvPr id="14" name="Rectangle: Rounded Corners 13">
          <a:extLst>
            <a:ext uri="{FF2B5EF4-FFF2-40B4-BE49-F238E27FC236}">
              <a16:creationId xmlns:a16="http://schemas.microsoft.com/office/drawing/2014/main" id="{B3459E59-92DA-449D-A19B-F62C9CFD9415}"/>
            </a:ext>
          </a:extLst>
        </xdr:cNvPr>
        <xdr:cNvSpPr/>
      </xdr:nvSpPr>
      <xdr:spPr>
        <a:xfrm>
          <a:off x="3726180" y="2125980"/>
          <a:ext cx="1170000" cy="917090"/>
        </a:xfrm>
        <a:prstGeom prst="roundRect">
          <a:avLst>
            <a:gd name="adj" fmla="val 751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11</xdr:row>
      <xdr:rowOff>106680</xdr:rowOff>
    </xdr:from>
    <xdr:to>
      <xdr:col>5</xdr:col>
      <xdr:colOff>575640</xdr:colOff>
      <xdr:row>16</xdr:row>
      <xdr:rowOff>109370</xdr:rowOff>
    </xdr:to>
    <xdr:sp macro="" textlink="">
      <xdr:nvSpPr>
        <xdr:cNvPr id="15" name="Rectangle: Rounded Corners 14">
          <a:extLst>
            <a:ext uri="{FF2B5EF4-FFF2-40B4-BE49-F238E27FC236}">
              <a16:creationId xmlns:a16="http://schemas.microsoft.com/office/drawing/2014/main" id="{4E67EEE0-5D79-4654-9900-37E3668FDDDC}"/>
            </a:ext>
          </a:extLst>
        </xdr:cNvPr>
        <xdr:cNvSpPr/>
      </xdr:nvSpPr>
      <xdr:spPr>
        <a:xfrm>
          <a:off x="2453640" y="2118360"/>
          <a:ext cx="1170000" cy="917090"/>
        </a:xfrm>
        <a:prstGeom prst="roundRect">
          <a:avLst>
            <a:gd name="adj" fmla="val 747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22860</xdr:colOff>
      <xdr:row>5</xdr:row>
      <xdr:rowOff>129540</xdr:rowOff>
    </xdr:from>
    <xdr:to>
      <xdr:col>8</xdr:col>
      <xdr:colOff>32460</xdr:colOff>
      <xdr:row>10</xdr:row>
      <xdr:rowOff>132229</xdr:rowOff>
    </xdr:to>
    <xdr:sp macro="" textlink="">
      <xdr:nvSpPr>
        <xdr:cNvPr id="16" name="Rectangle: Rounded Corners 15">
          <a:extLst>
            <a:ext uri="{FF2B5EF4-FFF2-40B4-BE49-F238E27FC236}">
              <a16:creationId xmlns:a16="http://schemas.microsoft.com/office/drawing/2014/main" id="{AC96A3B2-FDB4-4096-AF65-92B3A46B2D78}"/>
            </a:ext>
          </a:extLst>
        </xdr:cNvPr>
        <xdr:cNvSpPr/>
      </xdr:nvSpPr>
      <xdr:spPr>
        <a:xfrm>
          <a:off x="2461260" y="1043940"/>
          <a:ext cx="2448000" cy="917089"/>
        </a:xfrm>
        <a:prstGeom prst="roundRect">
          <a:avLst>
            <a:gd name="adj" fmla="val 931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23</xdr:row>
      <xdr:rowOff>64373</xdr:rowOff>
    </xdr:from>
    <xdr:to>
      <xdr:col>14</xdr:col>
      <xdr:colOff>470400</xdr:colOff>
      <xdr:row>28</xdr:row>
      <xdr:rowOff>67063</xdr:rowOff>
    </xdr:to>
    <xdr:sp macro="" textlink="">
      <xdr:nvSpPr>
        <xdr:cNvPr id="17" name="Rectangle: Rounded Corners 16">
          <a:extLst>
            <a:ext uri="{FF2B5EF4-FFF2-40B4-BE49-F238E27FC236}">
              <a16:creationId xmlns:a16="http://schemas.microsoft.com/office/drawing/2014/main" id="{33966502-5255-4962-BF5C-4E5B920A5D2E}"/>
            </a:ext>
          </a:extLst>
        </xdr:cNvPr>
        <xdr:cNvSpPr/>
      </xdr:nvSpPr>
      <xdr:spPr>
        <a:xfrm>
          <a:off x="7924800" y="4270613"/>
          <a:ext cx="1080000" cy="917090"/>
        </a:xfrm>
        <a:prstGeom prst="roundRect">
          <a:avLst>
            <a:gd name="adj" fmla="val 938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60512</xdr:colOff>
      <xdr:row>23</xdr:row>
      <xdr:rowOff>64373</xdr:rowOff>
    </xdr:from>
    <xdr:to>
      <xdr:col>16</xdr:col>
      <xdr:colOff>530912</xdr:colOff>
      <xdr:row>28</xdr:row>
      <xdr:rowOff>67063</xdr:rowOff>
    </xdr:to>
    <xdr:sp macro="" textlink="">
      <xdr:nvSpPr>
        <xdr:cNvPr id="18" name="Rectangle: Rounded Corners 17">
          <a:extLst>
            <a:ext uri="{FF2B5EF4-FFF2-40B4-BE49-F238E27FC236}">
              <a16:creationId xmlns:a16="http://schemas.microsoft.com/office/drawing/2014/main" id="{4D8F7C8C-2E47-4160-8106-ECCB1AEDD006}"/>
            </a:ext>
          </a:extLst>
        </xdr:cNvPr>
        <xdr:cNvSpPr/>
      </xdr:nvSpPr>
      <xdr:spPr>
        <a:xfrm>
          <a:off x="9204512" y="4270613"/>
          <a:ext cx="1080000" cy="917090"/>
        </a:xfrm>
        <a:prstGeom prst="roundRect">
          <a:avLst>
            <a:gd name="adj" fmla="val 646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72166</xdr:colOff>
      <xdr:row>17</xdr:row>
      <xdr:rowOff>112059</xdr:rowOff>
    </xdr:from>
    <xdr:to>
      <xdr:col>16</xdr:col>
      <xdr:colOff>542566</xdr:colOff>
      <xdr:row>22</xdr:row>
      <xdr:rowOff>114748</xdr:rowOff>
    </xdr:to>
    <xdr:sp macro="" textlink="">
      <xdr:nvSpPr>
        <xdr:cNvPr id="19" name="Rectangle: Rounded Corners 18">
          <a:extLst>
            <a:ext uri="{FF2B5EF4-FFF2-40B4-BE49-F238E27FC236}">
              <a16:creationId xmlns:a16="http://schemas.microsoft.com/office/drawing/2014/main" id="{88789327-C2FD-4D6F-A9E6-0E7D5A453A7E}"/>
            </a:ext>
          </a:extLst>
        </xdr:cNvPr>
        <xdr:cNvSpPr/>
      </xdr:nvSpPr>
      <xdr:spPr>
        <a:xfrm>
          <a:off x="9216166" y="3221019"/>
          <a:ext cx="1080000" cy="917089"/>
        </a:xfrm>
        <a:prstGeom prst="roundRect">
          <a:avLst>
            <a:gd name="adj" fmla="val 646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7</xdr:row>
      <xdr:rowOff>197223</xdr:rowOff>
    </xdr:from>
    <xdr:to>
      <xdr:col>16</xdr:col>
      <xdr:colOff>551531</xdr:colOff>
      <xdr:row>16</xdr:row>
      <xdr:rowOff>105784</xdr:rowOff>
    </xdr:to>
    <xdr:sp macro="" textlink="">
      <xdr:nvSpPr>
        <xdr:cNvPr id="20" name="Rectangle: Rounded Corners 19">
          <a:extLst>
            <a:ext uri="{FF2B5EF4-FFF2-40B4-BE49-F238E27FC236}">
              <a16:creationId xmlns:a16="http://schemas.microsoft.com/office/drawing/2014/main" id="{42A4BE45-A234-4091-9396-6773D60D0E8F}"/>
            </a:ext>
          </a:extLst>
        </xdr:cNvPr>
        <xdr:cNvSpPr/>
      </xdr:nvSpPr>
      <xdr:spPr>
        <a:xfrm>
          <a:off x="7924800" y="1462143"/>
          <a:ext cx="2380331" cy="1569721"/>
        </a:xfrm>
        <a:prstGeom prst="roundRect">
          <a:avLst>
            <a:gd name="adj" fmla="val 646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35858</xdr:colOff>
      <xdr:row>1</xdr:row>
      <xdr:rowOff>8965</xdr:rowOff>
    </xdr:from>
    <xdr:to>
      <xdr:col>16</xdr:col>
      <xdr:colOff>547058</xdr:colOff>
      <xdr:row>7</xdr:row>
      <xdr:rowOff>17929</xdr:rowOff>
    </xdr:to>
    <xdr:sp macro="" textlink="">
      <xdr:nvSpPr>
        <xdr:cNvPr id="21" name="Rectangle: Rounded Corners 20">
          <a:extLst>
            <a:ext uri="{FF2B5EF4-FFF2-40B4-BE49-F238E27FC236}">
              <a16:creationId xmlns:a16="http://schemas.microsoft.com/office/drawing/2014/main" id="{3CA14A4E-EDA5-41AF-8F59-C84AC6C2D00A}"/>
            </a:ext>
          </a:extLst>
        </xdr:cNvPr>
        <xdr:cNvSpPr/>
      </xdr:nvSpPr>
      <xdr:spPr>
        <a:xfrm>
          <a:off x="7960658" y="191845"/>
          <a:ext cx="2340000" cy="1106244"/>
        </a:xfrm>
        <a:prstGeom prst="roundRect">
          <a:avLst>
            <a:gd name="adj" fmla="val 646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116541</xdr:colOff>
      <xdr:row>17</xdr:row>
      <xdr:rowOff>206187</xdr:rowOff>
    </xdr:from>
    <xdr:ext cx="968188" cy="436786"/>
    <xdr:sp macro="" textlink="">
      <xdr:nvSpPr>
        <xdr:cNvPr id="22" name="TextBox 21">
          <a:extLst>
            <a:ext uri="{FF2B5EF4-FFF2-40B4-BE49-F238E27FC236}">
              <a16:creationId xmlns:a16="http://schemas.microsoft.com/office/drawing/2014/main" id="{A75A11A7-FBA2-41CA-91DE-DCBEC14EEA9E}"/>
            </a:ext>
          </a:extLst>
        </xdr:cNvPr>
        <xdr:cNvSpPr txBox="1"/>
      </xdr:nvSpPr>
      <xdr:spPr>
        <a:xfrm>
          <a:off x="9260541" y="3292287"/>
          <a:ext cx="96818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Part-T</a:t>
          </a:r>
          <a:r>
            <a:rPr lang="en-IN" sz="1100" baseline="0">
              <a:solidFill>
                <a:schemeClr val="bg1"/>
              </a:solidFill>
            </a:rPr>
            <a:t>ime </a:t>
          </a:r>
        </a:p>
        <a:p>
          <a:r>
            <a:rPr lang="en-IN" sz="1100" baseline="0">
              <a:solidFill>
                <a:schemeClr val="bg1"/>
              </a:solidFill>
            </a:rPr>
            <a:t>Employees</a:t>
          </a:r>
          <a:endParaRPr lang="en-IN" sz="1100">
            <a:solidFill>
              <a:schemeClr val="bg1"/>
            </a:solidFill>
          </a:endParaRPr>
        </a:p>
      </xdr:txBody>
    </xdr:sp>
    <xdr:clientData/>
  </xdr:oneCellAnchor>
  <xdr:oneCellAnchor>
    <xdr:from>
      <xdr:col>15</xdr:col>
      <xdr:colOff>507593</xdr:colOff>
      <xdr:row>19</xdr:row>
      <xdr:rowOff>89062</xdr:rowOff>
    </xdr:from>
    <xdr:ext cx="759503" cy="638123"/>
    <xdr:sp macro="" textlink="'Pivot tables'!C13">
      <xdr:nvSpPr>
        <xdr:cNvPr id="23" name="TextBox 22">
          <a:extLst>
            <a:ext uri="{FF2B5EF4-FFF2-40B4-BE49-F238E27FC236}">
              <a16:creationId xmlns:a16="http://schemas.microsoft.com/office/drawing/2014/main" id="{10F97F59-B732-43BB-BD69-63DB784E44D5}"/>
            </a:ext>
          </a:extLst>
        </xdr:cNvPr>
        <xdr:cNvSpPr txBox="1"/>
      </xdr:nvSpPr>
      <xdr:spPr>
        <a:xfrm>
          <a:off x="9651593" y="3563782"/>
          <a:ext cx="759503"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7033D17-B73E-4AB6-8D64-F99A6BB95B83}" type="TxLink">
            <a:rPr lang="en-US" sz="3200" b="0" i="0" u="none" strike="noStrike">
              <a:solidFill>
                <a:schemeClr val="bg1"/>
              </a:solidFill>
              <a:latin typeface="Segoe UI" panose="020B0502040204020203" pitchFamily="34" charset="0"/>
              <a:cs typeface="Segoe UI" panose="020B0502040204020203" pitchFamily="34" charset="0"/>
            </a:rPr>
            <a:pPr/>
            <a:t>13</a:t>
          </a:fld>
          <a:endParaRPr lang="en-IN" sz="32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15</xdr:col>
      <xdr:colOff>60512</xdr:colOff>
      <xdr:row>23</xdr:row>
      <xdr:rowOff>105611</xdr:rowOff>
    </xdr:from>
    <xdr:ext cx="968188" cy="436786"/>
    <xdr:sp macro="" textlink="">
      <xdr:nvSpPr>
        <xdr:cNvPr id="24" name="TextBox 23">
          <a:extLst>
            <a:ext uri="{FF2B5EF4-FFF2-40B4-BE49-F238E27FC236}">
              <a16:creationId xmlns:a16="http://schemas.microsoft.com/office/drawing/2014/main" id="{DC7B36FC-C909-4BA7-82AA-3ED65C8DEB65}"/>
            </a:ext>
          </a:extLst>
        </xdr:cNvPr>
        <xdr:cNvSpPr txBox="1"/>
      </xdr:nvSpPr>
      <xdr:spPr>
        <a:xfrm>
          <a:off x="9204512" y="4311851"/>
          <a:ext cx="96818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Full-T</a:t>
          </a:r>
          <a:r>
            <a:rPr lang="en-IN" sz="1100" baseline="0">
              <a:solidFill>
                <a:schemeClr val="bg1"/>
              </a:solidFill>
            </a:rPr>
            <a:t>ime </a:t>
          </a:r>
        </a:p>
        <a:p>
          <a:r>
            <a:rPr lang="en-IN" sz="1100" baseline="0">
              <a:solidFill>
                <a:schemeClr val="bg1"/>
              </a:solidFill>
            </a:rPr>
            <a:t>Employees</a:t>
          </a:r>
          <a:endParaRPr lang="en-IN" sz="1100">
            <a:solidFill>
              <a:schemeClr val="bg1"/>
            </a:solidFill>
          </a:endParaRPr>
        </a:p>
      </xdr:txBody>
    </xdr:sp>
    <xdr:clientData/>
  </xdr:oneCellAnchor>
  <xdr:oneCellAnchor>
    <xdr:from>
      <xdr:col>13</xdr:col>
      <xdr:colOff>0</xdr:colOff>
      <xdr:row>23</xdr:row>
      <xdr:rowOff>105611</xdr:rowOff>
    </xdr:from>
    <xdr:ext cx="968188" cy="436786"/>
    <xdr:sp macro="" textlink="">
      <xdr:nvSpPr>
        <xdr:cNvPr id="25" name="TextBox 24">
          <a:extLst>
            <a:ext uri="{FF2B5EF4-FFF2-40B4-BE49-F238E27FC236}">
              <a16:creationId xmlns:a16="http://schemas.microsoft.com/office/drawing/2014/main" id="{4F96D686-1C43-4F19-BFFA-96DC7C4B59F6}"/>
            </a:ext>
          </a:extLst>
        </xdr:cNvPr>
        <xdr:cNvSpPr txBox="1"/>
      </xdr:nvSpPr>
      <xdr:spPr>
        <a:xfrm>
          <a:off x="7924800" y="4311851"/>
          <a:ext cx="96818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Contract </a:t>
          </a:r>
        </a:p>
        <a:p>
          <a:r>
            <a:rPr lang="en-IN" sz="1100" baseline="0">
              <a:solidFill>
                <a:schemeClr val="bg1"/>
              </a:solidFill>
            </a:rPr>
            <a:t>Employees</a:t>
          </a:r>
          <a:endParaRPr lang="en-IN" sz="1100">
            <a:solidFill>
              <a:schemeClr val="bg1"/>
            </a:solidFill>
          </a:endParaRPr>
        </a:p>
      </xdr:txBody>
    </xdr:sp>
    <xdr:clientData/>
  </xdr:oneCellAnchor>
  <xdr:oneCellAnchor>
    <xdr:from>
      <xdr:col>15</xdr:col>
      <xdr:colOff>482877</xdr:colOff>
      <xdr:row>25</xdr:row>
      <xdr:rowOff>75131</xdr:rowOff>
    </xdr:from>
    <xdr:ext cx="759503" cy="650756"/>
    <xdr:sp macro="" textlink="'Pivot tables'!C12">
      <xdr:nvSpPr>
        <xdr:cNvPr id="26" name="TextBox 25">
          <a:extLst>
            <a:ext uri="{FF2B5EF4-FFF2-40B4-BE49-F238E27FC236}">
              <a16:creationId xmlns:a16="http://schemas.microsoft.com/office/drawing/2014/main" id="{48AD7BEE-4F5F-4CCA-906F-D19FEED31DAF}"/>
            </a:ext>
          </a:extLst>
        </xdr:cNvPr>
        <xdr:cNvSpPr txBox="1"/>
      </xdr:nvSpPr>
      <xdr:spPr>
        <a:xfrm>
          <a:off x="9626877" y="4647131"/>
          <a:ext cx="759503" cy="650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3726A77-B0BF-4493-AA64-F2FBB3DCF508}" type="TxLink">
            <a:rPr lang="en-US" sz="3200" b="0" i="0" u="none" strike="noStrike">
              <a:solidFill>
                <a:schemeClr val="bg1"/>
              </a:solidFill>
              <a:latin typeface="Segoe UI" panose="020B0502040204020203" pitchFamily="34" charset="0"/>
              <a:cs typeface="Segoe UI" panose="020B0502040204020203" pitchFamily="34" charset="0"/>
            </a:rPr>
            <a:pPr/>
            <a:t>20</a:t>
          </a:fld>
          <a:endParaRPr lang="en-IN" sz="32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13</xdr:col>
      <xdr:colOff>439783</xdr:colOff>
      <xdr:row>25</xdr:row>
      <xdr:rowOff>70778</xdr:rowOff>
    </xdr:from>
    <xdr:ext cx="759503" cy="650756"/>
    <xdr:sp macro="" textlink="'Pivot tables'!C11">
      <xdr:nvSpPr>
        <xdr:cNvPr id="27" name="TextBox 26">
          <a:extLst>
            <a:ext uri="{FF2B5EF4-FFF2-40B4-BE49-F238E27FC236}">
              <a16:creationId xmlns:a16="http://schemas.microsoft.com/office/drawing/2014/main" id="{DE30FED8-F160-4C1A-BF35-E5B9ACA26F66}"/>
            </a:ext>
          </a:extLst>
        </xdr:cNvPr>
        <xdr:cNvSpPr txBox="1"/>
      </xdr:nvSpPr>
      <xdr:spPr>
        <a:xfrm>
          <a:off x="8364583" y="4642778"/>
          <a:ext cx="759503" cy="650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7E25148-57D4-40CA-AB5B-6233FCD9ED14}" type="TxLink">
            <a:rPr lang="en-US" sz="3200" b="0" i="0" u="none" strike="noStrike">
              <a:solidFill>
                <a:schemeClr val="bg1"/>
              </a:solidFill>
              <a:latin typeface="Segoe UI" panose="020B0502040204020203" pitchFamily="34" charset="0"/>
              <a:cs typeface="Segoe UI" panose="020B0502040204020203" pitchFamily="34" charset="0"/>
            </a:rPr>
            <a:pPr/>
            <a:t>17</a:t>
          </a:fld>
          <a:endParaRPr lang="en-IN" sz="32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8</xdr:col>
      <xdr:colOff>511625</xdr:colOff>
      <xdr:row>20</xdr:row>
      <xdr:rowOff>127626</xdr:rowOff>
    </xdr:from>
    <xdr:ext cx="1304110" cy="264560"/>
    <xdr:sp macro="" textlink="">
      <xdr:nvSpPr>
        <xdr:cNvPr id="28" name="TextBox 27">
          <a:extLst>
            <a:ext uri="{FF2B5EF4-FFF2-40B4-BE49-F238E27FC236}">
              <a16:creationId xmlns:a16="http://schemas.microsoft.com/office/drawing/2014/main" id="{7FB7EA28-A3A2-4F60-BEEF-2B1A9721FF57}"/>
            </a:ext>
          </a:extLst>
        </xdr:cNvPr>
        <xdr:cNvSpPr txBox="1"/>
      </xdr:nvSpPr>
      <xdr:spPr>
        <a:xfrm>
          <a:off x="5388425" y="3785226"/>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baseline="0">
              <a:solidFill>
                <a:schemeClr val="bg1"/>
              </a:solidFill>
            </a:rPr>
            <a:t>Total Salaries</a:t>
          </a:r>
        </a:p>
      </xdr:txBody>
    </xdr:sp>
    <xdr:clientData/>
  </xdr:oneCellAnchor>
  <xdr:oneCellAnchor>
    <xdr:from>
      <xdr:col>8</xdr:col>
      <xdr:colOff>511625</xdr:colOff>
      <xdr:row>21</xdr:row>
      <xdr:rowOff>150268</xdr:rowOff>
    </xdr:from>
    <xdr:ext cx="1304110" cy="264560"/>
    <xdr:sp macro="" textlink="">
      <xdr:nvSpPr>
        <xdr:cNvPr id="29" name="TextBox 28">
          <a:extLst>
            <a:ext uri="{FF2B5EF4-FFF2-40B4-BE49-F238E27FC236}">
              <a16:creationId xmlns:a16="http://schemas.microsoft.com/office/drawing/2014/main" id="{24700B5F-77D8-4B19-8906-759000FB6CA8}"/>
            </a:ext>
          </a:extLst>
        </xdr:cNvPr>
        <xdr:cNvSpPr txBox="1"/>
      </xdr:nvSpPr>
      <xdr:spPr>
        <a:xfrm>
          <a:off x="5388425" y="3990748"/>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Managers</a:t>
          </a:r>
        </a:p>
      </xdr:txBody>
    </xdr:sp>
    <xdr:clientData/>
  </xdr:oneCellAnchor>
  <xdr:oneCellAnchor>
    <xdr:from>
      <xdr:col>8</xdr:col>
      <xdr:colOff>511625</xdr:colOff>
      <xdr:row>22</xdr:row>
      <xdr:rowOff>172910</xdr:rowOff>
    </xdr:from>
    <xdr:ext cx="1304110" cy="264560"/>
    <xdr:sp macro="" textlink="">
      <xdr:nvSpPr>
        <xdr:cNvPr id="30" name="TextBox 29">
          <a:extLst>
            <a:ext uri="{FF2B5EF4-FFF2-40B4-BE49-F238E27FC236}">
              <a16:creationId xmlns:a16="http://schemas.microsoft.com/office/drawing/2014/main" id="{6308652B-BDC3-4EBE-9F96-F1FA6F6E5288}"/>
            </a:ext>
          </a:extLst>
        </xdr:cNvPr>
        <xdr:cNvSpPr txBox="1"/>
      </xdr:nvSpPr>
      <xdr:spPr>
        <a:xfrm>
          <a:off x="5388425" y="4196270"/>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HR Speacialists</a:t>
          </a:r>
        </a:p>
      </xdr:txBody>
    </xdr:sp>
    <xdr:clientData/>
  </xdr:oneCellAnchor>
  <xdr:oneCellAnchor>
    <xdr:from>
      <xdr:col>8</xdr:col>
      <xdr:colOff>511625</xdr:colOff>
      <xdr:row>23</xdr:row>
      <xdr:rowOff>195552</xdr:rowOff>
    </xdr:from>
    <xdr:ext cx="1304110" cy="264560"/>
    <xdr:sp macro="" textlink="">
      <xdr:nvSpPr>
        <xdr:cNvPr id="31" name="TextBox 30">
          <a:extLst>
            <a:ext uri="{FF2B5EF4-FFF2-40B4-BE49-F238E27FC236}">
              <a16:creationId xmlns:a16="http://schemas.microsoft.com/office/drawing/2014/main" id="{E4C91813-0F64-49A8-AF16-F4CD1E5B6FEC}"/>
            </a:ext>
          </a:extLst>
        </xdr:cNvPr>
        <xdr:cNvSpPr txBox="1"/>
      </xdr:nvSpPr>
      <xdr:spPr>
        <a:xfrm>
          <a:off x="5388425" y="4386552"/>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Developers</a:t>
          </a:r>
        </a:p>
      </xdr:txBody>
    </xdr:sp>
    <xdr:clientData/>
  </xdr:oneCellAnchor>
  <xdr:oneCellAnchor>
    <xdr:from>
      <xdr:col>8</xdr:col>
      <xdr:colOff>511625</xdr:colOff>
      <xdr:row>25</xdr:row>
      <xdr:rowOff>4834</xdr:rowOff>
    </xdr:from>
    <xdr:ext cx="1304110" cy="264560"/>
    <xdr:sp macro="" textlink="">
      <xdr:nvSpPr>
        <xdr:cNvPr id="32" name="TextBox 31">
          <a:extLst>
            <a:ext uri="{FF2B5EF4-FFF2-40B4-BE49-F238E27FC236}">
              <a16:creationId xmlns:a16="http://schemas.microsoft.com/office/drawing/2014/main" id="{FD82BECD-2983-457A-9288-DF85FBA85B1A}"/>
            </a:ext>
          </a:extLst>
        </xdr:cNvPr>
        <xdr:cNvSpPr txBox="1"/>
      </xdr:nvSpPr>
      <xdr:spPr>
        <a:xfrm>
          <a:off x="5388425" y="4576834"/>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Designers</a:t>
          </a:r>
        </a:p>
      </xdr:txBody>
    </xdr:sp>
    <xdr:clientData/>
  </xdr:oneCellAnchor>
  <xdr:oneCellAnchor>
    <xdr:from>
      <xdr:col>8</xdr:col>
      <xdr:colOff>511625</xdr:colOff>
      <xdr:row>26</xdr:row>
      <xdr:rowOff>27476</xdr:rowOff>
    </xdr:from>
    <xdr:ext cx="1304110" cy="264560"/>
    <xdr:sp macro="" textlink="">
      <xdr:nvSpPr>
        <xdr:cNvPr id="33" name="TextBox 32">
          <a:extLst>
            <a:ext uri="{FF2B5EF4-FFF2-40B4-BE49-F238E27FC236}">
              <a16:creationId xmlns:a16="http://schemas.microsoft.com/office/drawing/2014/main" id="{7BBF2BF5-C089-470B-8C46-A2BDF8D73224}"/>
            </a:ext>
          </a:extLst>
        </xdr:cNvPr>
        <xdr:cNvSpPr txBox="1"/>
      </xdr:nvSpPr>
      <xdr:spPr>
        <a:xfrm>
          <a:off x="5388425" y="4782356"/>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Analysts</a:t>
          </a:r>
        </a:p>
      </xdr:txBody>
    </xdr:sp>
    <xdr:clientData/>
  </xdr:oneCellAnchor>
  <xdr:oneCellAnchor>
    <xdr:from>
      <xdr:col>10</xdr:col>
      <xdr:colOff>335282</xdr:colOff>
      <xdr:row>20</xdr:row>
      <xdr:rowOff>92792</xdr:rowOff>
    </xdr:from>
    <xdr:ext cx="1149533" cy="319255"/>
    <xdr:sp macro="" textlink="'Pivot tables'!F18">
      <xdr:nvSpPr>
        <xdr:cNvPr id="34" name="TextBox 33">
          <a:extLst>
            <a:ext uri="{FF2B5EF4-FFF2-40B4-BE49-F238E27FC236}">
              <a16:creationId xmlns:a16="http://schemas.microsoft.com/office/drawing/2014/main" id="{78BB19C0-E1C7-43F3-9A55-45B72AA3788B}"/>
            </a:ext>
          </a:extLst>
        </xdr:cNvPr>
        <xdr:cNvSpPr txBox="1"/>
      </xdr:nvSpPr>
      <xdr:spPr>
        <a:xfrm>
          <a:off x="6431282" y="3750392"/>
          <a:ext cx="1149533"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A09DD65A-F37B-490D-99D4-5244413E1881}" type="TxLink">
            <a:rPr lang="en-US" sz="1300" b="0" i="0" u="none" strike="noStrike" baseline="0">
              <a:solidFill>
                <a:schemeClr val="tx1"/>
              </a:solidFill>
              <a:latin typeface="Segoe UI Semilight"/>
              <a:cs typeface="Segoe UI Semilight"/>
            </a:rPr>
            <a:pPr algn="r"/>
            <a:t> 31,04,913 </a:t>
          </a:fld>
          <a:endParaRPr lang="en-IN" sz="1300" baseline="0">
            <a:solidFill>
              <a:schemeClr val="tx1"/>
            </a:solidFill>
          </a:endParaRPr>
        </a:p>
      </xdr:txBody>
    </xdr:sp>
    <xdr:clientData/>
  </xdr:oneCellAnchor>
  <xdr:oneCellAnchor>
    <xdr:from>
      <xdr:col>10</xdr:col>
      <xdr:colOff>180705</xdr:colOff>
      <xdr:row>21</xdr:row>
      <xdr:rowOff>127626</xdr:rowOff>
    </xdr:from>
    <xdr:ext cx="1304110" cy="319255"/>
    <xdr:sp macro="" textlink="'Pivot tables'!F17">
      <xdr:nvSpPr>
        <xdr:cNvPr id="35" name="TextBox 34">
          <a:extLst>
            <a:ext uri="{FF2B5EF4-FFF2-40B4-BE49-F238E27FC236}">
              <a16:creationId xmlns:a16="http://schemas.microsoft.com/office/drawing/2014/main" id="{C3B37869-51B5-4904-B114-1F5A18797646}"/>
            </a:ext>
          </a:extLst>
        </xdr:cNvPr>
        <xdr:cNvSpPr txBox="1"/>
      </xdr:nvSpPr>
      <xdr:spPr>
        <a:xfrm>
          <a:off x="6276705" y="3968106"/>
          <a:ext cx="1304110"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5286F860-24AA-4A90-A017-80BFC8866B21}" type="TxLink">
            <a:rPr lang="en-US" sz="1300" b="0" i="0" u="none" strike="noStrike" baseline="0">
              <a:solidFill>
                <a:schemeClr val="bg1"/>
              </a:solidFill>
              <a:latin typeface="Segoe UI Semilight"/>
              <a:cs typeface="Segoe UI Semilight"/>
            </a:rPr>
            <a:pPr algn="r"/>
            <a:t> 7,31,170 </a:t>
          </a:fld>
          <a:endParaRPr lang="en-IN" sz="1300" baseline="0">
            <a:solidFill>
              <a:schemeClr val="bg1"/>
            </a:solidFill>
          </a:endParaRPr>
        </a:p>
      </xdr:txBody>
    </xdr:sp>
    <xdr:clientData/>
  </xdr:oneCellAnchor>
  <xdr:oneCellAnchor>
    <xdr:from>
      <xdr:col>10</xdr:col>
      <xdr:colOff>261259</xdr:colOff>
      <xdr:row>22</xdr:row>
      <xdr:rowOff>162460</xdr:rowOff>
    </xdr:from>
    <xdr:ext cx="1223556" cy="319255"/>
    <xdr:sp macro="" textlink="'Pivot tables'!F16">
      <xdr:nvSpPr>
        <xdr:cNvPr id="36" name="TextBox 35">
          <a:extLst>
            <a:ext uri="{FF2B5EF4-FFF2-40B4-BE49-F238E27FC236}">
              <a16:creationId xmlns:a16="http://schemas.microsoft.com/office/drawing/2014/main" id="{1CB62253-2D15-400C-95B6-1312B701AF19}"/>
            </a:ext>
          </a:extLst>
        </xdr:cNvPr>
        <xdr:cNvSpPr txBox="1"/>
      </xdr:nvSpPr>
      <xdr:spPr>
        <a:xfrm>
          <a:off x="6357259" y="4185820"/>
          <a:ext cx="1223556"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CC6981FE-7F5E-49F3-9F9B-CE224AF73D03}" type="TxLink">
            <a:rPr lang="en-US" sz="1300" b="0" i="0" u="none" strike="noStrike" baseline="0">
              <a:solidFill>
                <a:schemeClr val="bg1"/>
              </a:solidFill>
              <a:latin typeface="Segoe UI Semilight"/>
              <a:cs typeface="Segoe UI Semilight"/>
            </a:rPr>
            <a:pPr algn="r"/>
            <a:t> 9,59,266 </a:t>
          </a:fld>
          <a:endParaRPr lang="en-IN" sz="1300" baseline="0">
            <a:solidFill>
              <a:schemeClr val="bg1"/>
            </a:solidFill>
          </a:endParaRPr>
        </a:p>
      </xdr:txBody>
    </xdr:sp>
    <xdr:clientData/>
  </xdr:oneCellAnchor>
  <xdr:oneCellAnchor>
    <xdr:from>
      <xdr:col>10</xdr:col>
      <xdr:colOff>202478</xdr:colOff>
      <xdr:row>23</xdr:row>
      <xdr:rowOff>197294</xdr:rowOff>
    </xdr:from>
    <xdr:ext cx="1282337" cy="319255"/>
    <xdr:sp macro="" textlink="'Pivot tables'!F15">
      <xdr:nvSpPr>
        <xdr:cNvPr id="37" name="TextBox 36">
          <a:extLst>
            <a:ext uri="{FF2B5EF4-FFF2-40B4-BE49-F238E27FC236}">
              <a16:creationId xmlns:a16="http://schemas.microsoft.com/office/drawing/2014/main" id="{CADF6CA3-A5EF-4DC7-9C48-5BBE1DAAE72E}"/>
            </a:ext>
          </a:extLst>
        </xdr:cNvPr>
        <xdr:cNvSpPr txBox="1"/>
      </xdr:nvSpPr>
      <xdr:spPr>
        <a:xfrm>
          <a:off x="6298478" y="4388294"/>
          <a:ext cx="1282337"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4EAE121C-DA39-4D39-ADFB-7C20958B9243}" type="TxLink">
            <a:rPr lang="en-US" sz="1300" b="0" i="0" u="none" strike="noStrike" baseline="0">
              <a:solidFill>
                <a:schemeClr val="bg1"/>
              </a:solidFill>
              <a:latin typeface="Segoe UI Semilight"/>
              <a:cs typeface="Segoe UI Semilight"/>
            </a:rPr>
            <a:pPr algn="r"/>
            <a:t> 6,33,594 </a:t>
          </a:fld>
          <a:endParaRPr lang="en-IN" sz="1300" baseline="0">
            <a:solidFill>
              <a:schemeClr val="bg1"/>
            </a:solidFill>
          </a:endParaRPr>
        </a:p>
      </xdr:txBody>
    </xdr:sp>
    <xdr:clientData/>
  </xdr:oneCellAnchor>
  <xdr:oneCellAnchor>
    <xdr:from>
      <xdr:col>10</xdr:col>
      <xdr:colOff>180705</xdr:colOff>
      <xdr:row>25</xdr:row>
      <xdr:rowOff>18768</xdr:rowOff>
    </xdr:from>
    <xdr:ext cx="1304110" cy="319255"/>
    <xdr:sp macro="" textlink="'Pivot tables'!F14">
      <xdr:nvSpPr>
        <xdr:cNvPr id="38" name="TextBox 37">
          <a:extLst>
            <a:ext uri="{FF2B5EF4-FFF2-40B4-BE49-F238E27FC236}">
              <a16:creationId xmlns:a16="http://schemas.microsoft.com/office/drawing/2014/main" id="{4E21C058-C660-428B-AE2F-1DE2A1505901}"/>
            </a:ext>
          </a:extLst>
        </xdr:cNvPr>
        <xdr:cNvSpPr txBox="1"/>
      </xdr:nvSpPr>
      <xdr:spPr>
        <a:xfrm>
          <a:off x="6276705" y="4590768"/>
          <a:ext cx="1304110"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B87C076C-F1D9-4389-B3D5-E9EB3D87AFAE}" type="TxLink">
            <a:rPr lang="en-US" sz="1300" b="0" i="0" u="none" strike="noStrike" baseline="0">
              <a:solidFill>
                <a:schemeClr val="bg1"/>
              </a:solidFill>
              <a:latin typeface="Segoe UI Semilight"/>
              <a:cs typeface="Segoe UI Semilight"/>
            </a:rPr>
            <a:pPr algn="r"/>
            <a:t> 6,13,842 </a:t>
          </a:fld>
          <a:endParaRPr lang="en-IN" sz="1300" baseline="0">
            <a:solidFill>
              <a:schemeClr val="bg1"/>
            </a:solidFill>
          </a:endParaRPr>
        </a:p>
      </xdr:txBody>
    </xdr:sp>
    <xdr:clientData/>
  </xdr:oneCellAnchor>
  <xdr:oneCellAnchor>
    <xdr:from>
      <xdr:col>10</xdr:col>
      <xdr:colOff>180705</xdr:colOff>
      <xdr:row>26</xdr:row>
      <xdr:rowOff>53602</xdr:rowOff>
    </xdr:from>
    <xdr:ext cx="1304110" cy="319255"/>
    <xdr:sp macro="" textlink="'Pivot tables'!F13">
      <xdr:nvSpPr>
        <xdr:cNvPr id="39" name="TextBox 38">
          <a:extLst>
            <a:ext uri="{FF2B5EF4-FFF2-40B4-BE49-F238E27FC236}">
              <a16:creationId xmlns:a16="http://schemas.microsoft.com/office/drawing/2014/main" id="{497CA67B-BED1-4455-A331-C48A960F445D}"/>
            </a:ext>
          </a:extLst>
        </xdr:cNvPr>
        <xdr:cNvSpPr txBox="1"/>
      </xdr:nvSpPr>
      <xdr:spPr>
        <a:xfrm>
          <a:off x="6276705" y="4808482"/>
          <a:ext cx="1304110"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CDF2D2D7-92E3-473F-B6C0-59451358F208}" type="TxLink">
            <a:rPr lang="en-US" sz="1300" b="0" i="0" u="none" strike="noStrike" baseline="0">
              <a:solidFill>
                <a:schemeClr val="bg1"/>
              </a:solidFill>
              <a:latin typeface="Segoe UI Semilight"/>
              <a:cs typeface="Segoe UI Semilight"/>
            </a:rPr>
            <a:pPr algn="r"/>
            <a:t> 1,67,041 </a:t>
          </a:fld>
          <a:endParaRPr lang="en-IN" sz="1300" baseline="0">
            <a:solidFill>
              <a:schemeClr val="bg1"/>
            </a:solidFill>
          </a:endParaRPr>
        </a:p>
      </xdr:txBody>
    </xdr:sp>
    <xdr:clientData/>
  </xdr:oneCellAnchor>
  <xdr:oneCellAnchor>
    <xdr:from>
      <xdr:col>8</xdr:col>
      <xdr:colOff>511625</xdr:colOff>
      <xdr:row>17</xdr:row>
      <xdr:rowOff>148365</xdr:rowOff>
    </xdr:from>
    <xdr:ext cx="1304110" cy="280205"/>
    <xdr:sp macro="" textlink="">
      <xdr:nvSpPr>
        <xdr:cNvPr id="40" name="TextBox 39">
          <a:extLst>
            <a:ext uri="{FF2B5EF4-FFF2-40B4-BE49-F238E27FC236}">
              <a16:creationId xmlns:a16="http://schemas.microsoft.com/office/drawing/2014/main" id="{EA1CFECC-6E72-4636-914C-1BED7DAB51F8}"/>
            </a:ext>
          </a:extLst>
        </xdr:cNvPr>
        <xdr:cNvSpPr txBox="1"/>
      </xdr:nvSpPr>
      <xdr:spPr>
        <a:xfrm>
          <a:off x="5388425" y="3257325"/>
          <a:ext cx="13041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Salaries</a:t>
          </a:r>
        </a:p>
      </xdr:txBody>
    </xdr:sp>
    <xdr:clientData/>
  </xdr:oneCellAnchor>
  <xdr:oneCellAnchor>
    <xdr:from>
      <xdr:col>8</xdr:col>
      <xdr:colOff>502918</xdr:colOff>
      <xdr:row>18</xdr:row>
      <xdr:rowOff>144354</xdr:rowOff>
    </xdr:from>
    <xdr:ext cx="1465217" cy="211725"/>
    <xdr:sp macro="" textlink="">
      <xdr:nvSpPr>
        <xdr:cNvPr id="41" name="TextBox 40">
          <a:extLst>
            <a:ext uri="{FF2B5EF4-FFF2-40B4-BE49-F238E27FC236}">
              <a16:creationId xmlns:a16="http://schemas.microsoft.com/office/drawing/2014/main" id="{115999DE-1CC9-4578-A4B2-67CBE8A8A270}"/>
            </a:ext>
          </a:extLst>
        </xdr:cNvPr>
        <xdr:cNvSpPr txBox="1"/>
      </xdr:nvSpPr>
      <xdr:spPr>
        <a:xfrm>
          <a:off x="5379718" y="3436194"/>
          <a:ext cx="1465217" cy="2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Salary amount by Job Titles</a:t>
          </a:r>
        </a:p>
      </xdr:txBody>
    </xdr:sp>
    <xdr:clientData/>
  </xdr:oneCellAnchor>
  <xdr:oneCellAnchor>
    <xdr:from>
      <xdr:col>13</xdr:col>
      <xdr:colOff>46333</xdr:colOff>
      <xdr:row>16</xdr:row>
      <xdr:rowOff>80288</xdr:rowOff>
    </xdr:from>
    <xdr:ext cx="2392349" cy="280205"/>
    <xdr:sp macro="" textlink="">
      <xdr:nvSpPr>
        <xdr:cNvPr id="42" name="TextBox 41">
          <a:extLst>
            <a:ext uri="{FF2B5EF4-FFF2-40B4-BE49-F238E27FC236}">
              <a16:creationId xmlns:a16="http://schemas.microsoft.com/office/drawing/2014/main" id="{1E380AF4-AA80-4127-BC76-DA5B38871118}"/>
            </a:ext>
          </a:extLst>
        </xdr:cNvPr>
        <xdr:cNvSpPr txBox="1"/>
      </xdr:nvSpPr>
      <xdr:spPr>
        <a:xfrm>
          <a:off x="7971133" y="3006368"/>
          <a:ext cx="239234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Employments Status Breakdown</a:t>
          </a:r>
        </a:p>
      </xdr:txBody>
    </xdr:sp>
    <xdr:clientData/>
  </xdr:oneCellAnchor>
  <xdr:twoCellAnchor>
    <xdr:from>
      <xdr:col>12</xdr:col>
      <xdr:colOff>271272</xdr:colOff>
      <xdr:row>17</xdr:row>
      <xdr:rowOff>30480</xdr:rowOff>
    </xdr:from>
    <xdr:to>
      <xdr:col>15</xdr:col>
      <xdr:colOff>54865</xdr:colOff>
      <xdr:row>23</xdr:row>
      <xdr:rowOff>12192</xdr:rowOff>
    </xdr:to>
    <xdr:graphicFrame macro="">
      <xdr:nvGraphicFramePr>
        <xdr:cNvPr id="43" name="Chart 42">
          <a:extLst>
            <a:ext uri="{FF2B5EF4-FFF2-40B4-BE49-F238E27FC236}">
              <a16:creationId xmlns:a16="http://schemas.microsoft.com/office/drawing/2014/main" id="{A03E27E3-FC07-4914-BD12-EB733888C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300816</xdr:colOff>
      <xdr:row>23</xdr:row>
      <xdr:rowOff>119941</xdr:rowOff>
    </xdr:from>
    <xdr:to>
      <xdr:col>16</xdr:col>
      <xdr:colOff>462816</xdr:colOff>
      <xdr:row>24</xdr:row>
      <xdr:rowOff>69670</xdr:rowOff>
    </xdr:to>
    <xdr:sp macro="" textlink="">
      <xdr:nvSpPr>
        <xdr:cNvPr id="44" name="Oval 43">
          <a:extLst>
            <a:ext uri="{FF2B5EF4-FFF2-40B4-BE49-F238E27FC236}">
              <a16:creationId xmlns:a16="http://schemas.microsoft.com/office/drawing/2014/main" id="{9D6897B4-EF7B-4407-94D0-DD593BC6D605}"/>
            </a:ext>
          </a:extLst>
        </xdr:cNvPr>
        <xdr:cNvSpPr/>
      </xdr:nvSpPr>
      <xdr:spPr>
        <a:xfrm>
          <a:off x="10054416" y="4326181"/>
          <a:ext cx="162000" cy="132609"/>
        </a:xfrm>
        <a:prstGeom prst="ellipse">
          <a:avLst/>
        </a:prstGeom>
        <a:solidFill>
          <a:schemeClr val="tx1">
            <a:lumMod val="75000"/>
            <a:lumOff val="25000"/>
          </a:schemeClr>
        </a:solid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233362</xdr:colOff>
      <xdr:row>23</xdr:row>
      <xdr:rowOff>119824</xdr:rowOff>
    </xdr:from>
    <xdr:to>
      <xdr:col>14</xdr:col>
      <xdr:colOff>395362</xdr:colOff>
      <xdr:row>24</xdr:row>
      <xdr:rowOff>69554</xdr:rowOff>
    </xdr:to>
    <xdr:sp macro="" textlink="">
      <xdr:nvSpPr>
        <xdr:cNvPr id="45" name="Oval 44">
          <a:extLst>
            <a:ext uri="{FF2B5EF4-FFF2-40B4-BE49-F238E27FC236}">
              <a16:creationId xmlns:a16="http://schemas.microsoft.com/office/drawing/2014/main" id="{A0600F19-7D7D-4C97-B124-AE050A7536A3}"/>
            </a:ext>
          </a:extLst>
        </xdr:cNvPr>
        <xdr:cNvSpPr/>
      </xdr:nvSpPr>
      <xdr:spPr>
        <a:xfrm>
          <a:off x="8767762" y="4326064"/>
          <a:ext cx="162000" cy="132610"/>
        </a:xfrm>
        <a:prstGeom prst="ellipse">
          <a:avLst/>
        </a:prstGeom>
        <a:solidFill>
          <a:srgbClr val="E5B244"/>
        </a:solid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308611</xdr:colOff>
      <xdr:row>17</xdr:row>
      <xdr:rowOff>166686</xdr:rowOff>
    </xdr:from>
    <xdr:to>
      <xdr:col>16</xdr:col>
      <xdr:colOff>470611</xdr:colOff>
      <xdr:row>18</xdr:row>
      <xdr:rowOff>116415</xdr:rowOff>
    </xdr:to>
    <xdr:sp macro="" textlink="">
      <xdr:nvSpPr>
        <xdr:cNvPr id="46" name="Oval 45">
          <a:extLst>
            <a:ext uri="{FF2B5EF4-FFF2-40B4-BE49-F238E27FC236}">
              <a16:creationId xmlns:a16="http://schemas.microsoft.com/office/drawing/2014/main" id="{AD39070F-7909-40E5-B442-57DBE508F115}"/>
            </a:ext>
          </a:extLst>
        </xdr:cNvPr>
        <xdr:cNvSpPr/>
      </xdr:nvSpPr>
      <xdr:spPr>
        <a:xfrm>
          <a:off x="10062211" y="3275646"/>
          <a:ext cx="162000" cy="132609"/>
        </a:xfrm>
        <a:prstGeom prst="ellipse">
          <a:avLst/>
        </a:prstGeom>
        <a:solidFill>
          <a:schemeClr val="bg1"/>
        </a:solid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125438</xdr:colOff>
      <xdr:row>19</xdr:row>
      <xdr:rowOff>203480</xdr:rowOff>
    </xdr:from>
    <xdr:to>
      <xdr:col>7</xdr:col>
      <xdr:colOff>539096</xdr:colOff>
      <xdr:row>27</xdr:row>
      <xdr:rowOff>159936</xdr:rowOff>
    </xdr:to>
    <xdr:graphicFrame macro="">
      <xdr:nvGraphicFramePr>
        <xdr:cNvPr id="47" name="Chart 46">
          <a:extLst>
            <a:ext uri="{FF2B5EF4-FFF2-40B4-BE49-F238E27FC236}">
              <a16:creationId xmlns:a16="http://schemas.microsoft.com/office/drawing/2014/main" id="{07F6C8BA-F4D0-4284-80D1-2DBE5DDD1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148619</xdr:colOff>
      <xdr:row>17</xdr:row>
      <xdr:rowOff>139657</xdr:rowOff>
    </xdr:from>
    <xdr:ext cx="1304110" cy="280205"/>
    <xdr:sp macro="" textlink="">
      <xdr:nvSpPr>
        <xdr:cNvPr id="48" name="TextBox 47">
          <a:extLst>
            <a:ext uri="{FF2B5EF4-FFF2-40B4-BE49-F238E27FC236}">
              <a16:creationId xmlns:a16="http://schemas.microsoft.com/office/drawing/2014/main" id="{A766CFBD-5C34-4553-862B-83397C5405E9}"/>
            </a:ext>
          </a:extLst>
        </xdr:cNvPr>
        <xdr:cNvSpPr txBox="1"/>
      </xdr:nvSpPr>
      <xdr:spPr>
        <a:xfrm>
          <a:off x="2587019" y="3248617"/>
          <a:ext cx="13041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Age Range</a:t>
          </a:r>
        </a:p>
      </xdr:txBody>
    </xdr:sp>
    <xdr:clientData/>
  </xdr:oneCellAnchor>
  <xdr:oneCellAnchor>
    <xdr:from>
      <xdr:col>4</xdr:col>
      <xdr:colOff>144264</xdr:colOff>
      <xdr:row>18</xdr:row>
      <xdr:rowOff>109177</xdr:rowOff>
    </xdr:from>
    <xdr:ext cx="1465217" cy="331116"/>
    <xdr:sp macro="" textlink="">
      <xdr:nvSpPr>
        <xdr:cNvPr id="49" name="TextBox 48">
          <a:extLst>
            <a:ext uri="{FF2B5EF4-FFF2-40B4-BE49-F238E27FC236}">
              <a16:creationId xmlns:a16="http://schemas.microsoft.com/office/drawing/2014/main" id="{CF7C1E84-6CCB-4C88-B9B7-1D51EDDFD12A}"/>
            </a:ext>
          </a:extLst>
        </xdr:cNvPr>
        <xdr:cNvSpPr txBox="1"/>
      </xdr:nvSpPr>
      <xdr:spPr>
        <a:xfrm>
          <a:off x="2582664" y="3401017"/>
          <a:ext cx="1465217"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No. of Employees according to age ranges and genders</a:t>
          </a:r>
        </a:p>
      </xdr:txBody>
    </xdr:sp>
    <xdr:clientData/>
  </xdr:oneCellAnchor>
  <xdr:oneCellAnchor>
    <xdr:from>
      <xdr:col>6</xdr:col>
      <xdr:colOff>232955</xdr:colOff>
      <xdr:row>19</xdr:row>
      <xdr:rowOff>66666</xdr:rowOff>
    </xdr:from>
    <xdr:ext cx="581295" cy="217560"/>
    <xdr:sp macro="" textlink="">
      <xdr:nvSpPr>
        <xdr:cNvPr id="50" name="TextBox 49">
          <a:extLst>
            <a:ext uri="{FF2B5EF4-FFF2-40B4-BE49-F238E27FC236}">
              <a16:creationId xmlns:a16="http://schemas.microsoft.com/office/drawing/2014/main" id="{51E8108F-3C88-4A41-BC1F-F52C08F69805}"/>
            </a:ext>
          </a:extLst>
        </xdr:cNvPr>
        <xdr:cNvSpPr txBox="1"/>
      </xdr:nvSpPr>
      <xdr:spPr>
        <a:xfrm>
          <a:off x="3890555" y="3541386"/>
          <a:ext cx="58129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800" b="1" baseline="0">
              <a:solidFill>
                <a:schemeClr val="bg1"/>
              </a:solidFill>
            </a:rPr>
            <a:t>Females</a:t>
          </a:r>
          <a:endParaRPr lang="en-IN" sz="900" b="1" baseline="0">
            <a:solidFill>
              <a:schemeClr val="bg1"/>
            </a:solidFill>
          </a:endParaRPr>
        </a:p>
      </xdr:txBody>
    </xdr:sp>
    <xdr:clientData/>
  </xdr:oneCellAnchor>
  <xdr:oneCellAnchor>
    <xdr:from>
      <xdr:col>7</xdr:col>
      <xdr:colOff>202475</xdr:colOff>
      <xdr:row>19</xdr:row>
      <xdr:rowOff>66666</xdr:rowOff>
    </xdr:from>
    <xdr:ext cx="581295" cy="217560"/>
    <xdr:sp macro="" textlink="">
      <xdr:nvSpPr>
        <xdr:cNvPr id="51" name="TextBox 50">
          <a:extLst>
            <a:ext uri="{FF2B5EF4-FFF2-40B4-BE49-F238E27FC236}">
              <a16:creationId xmlns:a16="http://schemas.microsoft.com/office/drawing/2014/main" id="{415371F1-2435-4179-89DF-8D0189A4FF51}"/>
            </a:ext>
          </a:extLst>
        </xdr:cNvPr>
        <xdr:cNvSpPr txBox="1"/>
      </xdr:nvSpPr>
      <xdr:spPr>
        <a:xfrm>
          <a:off x="4469675" y="3541386"/>
          <a:ext cx="58129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800" b="1" baseline="0">
              <a:solidFill>
                <a:schemeClr val="bg1"/>
              </a:solidFill>
            </a:rPr>
            <a:t>Males</a:t>
          </a:r>
        </a:p>
      </xdr:txBody>
    </xdr:sp>
    <xdr:clientData/>
  </xdr:oneCellAnchor>
  <xdr:twoCellAnchor>
    <xdr:from>
      <xdr:col>6</xdr:col>
      <xdr:colOff>165463</xdr:colOff>
      <xdr:row>19</xdr:row>
      <xdr:rowOff>121920</xdr:rowOff>
    </xdr:from>
    <xdr:to>
      <xdr:col>6</xdr:col>
      <xdr:colOff>273463</xdr:colOff>
      <xdr:row>20</xdr:row>
      <xdr:rowOff>16560</xdr:rowOff>
    </xdr:to>
    <xdr:sp macro="" textlink="">
      <xdr:nvSpPr>
        <xdr:cNvPr id="52" name="Oval 51">
          <a:extLst>
            <a:ext uri="{FF2B5EF4-FFF2-40B4-BE49-F238E27FC236}">
              <a16:creationId xmlns:a16="http://schemas.microsoft.com/office/drawing/2014/main" id="{E213F67C-A406-45AD-B855-0FEB3DB124EA}"/>
            </a:ext>
          </a:extLst>
        </xdr:cNvPr>
        <xdr:cNvSpPr/>
      </xdr:nvSpPr>
      <xdr:spPr>
        <a:xfrm>
          <a:off x="3823063" y="3596640"/>
          <a:ext cx="108000" cy="7752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154578</xdr:colOff>
      <xdr:row>19</xdr:row>
      <xdr:rowOff>123271</xdr:rowOff>
    </xdr:from>
    <xdr:to>
      <xdr:col>7</xdr:col>
      <xdr:colOff>262578</xdr:colOff>
      <xdr:row>20</xdr:row>
      <xdr:rowOff>17911</xdr:rowOff>
    </xdr:to>
    <xdr:sp macro="" textlink="">
      <xdr:nvSpPr>
        <xdr:cNvPr id="53" name="Oval 52">
          <a:extLst>
            <a:ext uri="{FF2B5EF4-FFF2-40B4-BE49-F238E27FC236}">
              <a16:creationId xmlns:a16="http://schemas.microsoft.com/office/drawing/2014/main" id="{08DC0522-E958-4571-87E0-AF0F8749E7D1}"/>
            </a:ext>
          </a:extLst>
        </xdr:cNvPr>
        <xdr:cNvSpPr/>
      </xdr:nvSpPr>
      <xdr:spPr>
        <a:xfrm>
          <a:off x="4421778" y="3597991"/>
          <a:ext cx="108000" cy="7752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348501</xdr:colOff>
      <xdr:row>22</xdr:row>
      <xdr:rowOff>57711</xdr:rowOff>
    </xdr:from>
    <xdr:to>
      <xdr:col>2</xdr:col>
      <xdr:colOff>594501</xdr:colOff>
      <xdr:row>25</xdr:row>
      <xdr:rowOff>38651</xdr:rowOff>
    </xdr:to>
    <xdr:graphicFrame macro="">
      <xdr:nvGraphicFramePr>
        <xdr:cNvPr id="54" name="Chart 53">
          <a:extLst>
            <a:ext uri="{FF2B5EF4-FFF2-40B4-BE49-F238E27FC236}">
              <a16:creationId xmlns:a16="http://schemas.microsoft.com/office/drawing/2014/main" id="{071786B6-E937-4437-9614-650DE1A65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348501</xdr:colOff>
      <xdr:row>23</xdr:row>
      <xdr:rowOff>213752</xdr:rowOff>
    </xdr:from>
    <xdr:to>
      <xdr:col>2</xdr:col>
      <xdr:colOff>594501</xdr:colOff>
      <xdr:row>26</xdr:row>
      <xdr:rowOff>194694</xdr:rowOff>
    </xdr:to>
    <xdr:graphicFrame macro="">
      <xdr:nvGraphicFramePr>
        <xdr:cNvPr id="55" name="Chart 54">
          <a:extLst>
            <a:ext uri="{FF2B5EF4-FFF2-40B4-BE49-F238E27FC236}">
              <a16:creationId xmlns:a16="http://schemas.microsoft.com/office/drawing/2014/main" id="{8D6DF3E9-8FD4-47A5-BC58-6CC6F8040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348501</xdr:colOff>
      <xdr:row>25</xdr:row>
      <xdr:rowOff>155481</xdr:rowOff>
    </xdr:from>
    <xdr:to>
      <xdr:col>2</xdr:col>
      <xdr:colOff>594501</xdr:colOff>
      <xdr:row>28</xdr:row>
      <xdr:rowOff>136423</xdr:rowOff>
    </xdr:to>
    <xdr:graphicFrame macro="">
      <xdr:nvGraphicFramePr>
        <xdr:cNvPr id="56" name="Chart 55">
          <a:extLst>
            <a:ext uri="{FF2B5EF4-FFF2-40B4-BE49-F238E27FC236}">
              <a16:creationId xmlns:a16="http://schemas.microsoft.com/office/drawing/2014/main" id="{3127C588-CC2F-43BF-9781-108FC0AC7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413690</xdr:colOff>
      <xdr:row>22</xdr:row>
      <xdr:rowOff>48052</xdr:rowOff>
    </xdr:from>
    <xdr:ext cx="1304110" cy="264560"/>
    <xdr:sp macro="" textlink="">
      <xdr:nvSpPr>
        <xdr:cNvPr id="57" name="TextBox 56">
          <a:extLst>
            <a:ext uri="{FF2B5EF4-FFF2-40B4-BE49-F238E27FC236}">
              <a16:creationId xmlns:a16="http://schemas.microsoft.com/office/drawing/2014/main" id="{DA09D7A8-CA38-4FD1-8500-BCD996A50A3D}"/>
            </a:ext>
          </a:extLst>
        </xdr:cNvPr>
        <xdr:cNvSpPr txBox="1"/>
      </xdr:nvSpPr>
      <xdr:spPr>
        <a:xfrm>
          <a:off x="413690" y="4071412"/>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Branch Office</a:t>
          </a:r>
        </a:p>
      </xdr:txBody>
    </xdr:sp>
    <xdr:clientData/>
  </xdr:oneCellAnchor>
  <xdr:oneCellAnchor>
    <xdr:from>
      <xdr:col>0</xdr:col>
      <xdr:colOff>404726</xdr:colOff>
      <xdr:row>24</xdr:row>
      <xdr:rowOff>4355</xdr:rowOff>
    </xdr:from>
    <xdr:ext cx="1304110" cy="264560"/>
    <xdr:sp macro="" textlink="">
      <xdr:nvSpPr>
        <xdr:cNvPr id="58" name="TextBox 57">
          <a:extLst>
            <a:ext uri="{FF2B5EF4-FFF2-40B4-BE49-F238E27FC236}">
              <a16:creationId xmlns:a16="http://schemas.microsoft.com/office/drawing/2014/main" id="{2AB9B29B-E2CC-4A94-AF5D-BC6F31D1CF18}"/>
            </a:ext>
          </a:extLst>
        </xdr:cNvPr>
        <xdr:cNvSpPr txBox="1"/>
      </xdr:nvSpPr>
      <xdr:spPr>
        <a:xfrm>
          <a:off x="404726" y="4393475"/>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Head Office</a:t>
          </a:r>
        </a:p>
      </xdr:txBody>
    </xdr:sp>
    <xdr:clientData/>
  </xdr:oneCellAnchor>
  <xdr:oneCellAnchor>
    <xdr:from>
      <xdr:col>0</xdr:col>
      <xdr:colOff>404726</xdr:colOff>
      <xdr:row>25</xdr:row>
      <xdr:rowOff>174969</xdr:rowOff>
    </xdr:from>
    <xdr:ext cx="1304110" cy="264560"/>
    <xdr:sp macro="" textlink="">
      <xdr:nvSpPr>
        <xdr:cNvPr id="59" name="TextBox 58">
          <a:extLst>
            <a:ext uri="{FF2B5EF4-FFF2-40B4-BE49-F238E27FC236}">
              <a16:creationId xmlns:a16="http://schemas.microsoft.com/office/drawing/2014/main" id="{844510D4-6F1C-4C98-9CD2-6D8172587CEA}"/>
            </a:ext>
          </a:extLst>
        </xdr:cNvPr>
        <xdr:cNvSpPr txBox="1"/>
      </xdr:nvSpPr>
      <xdr:spPr>
        <a:xfrm>
          <a:off x="404726" y="4746969"/>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solidFill>
                <a:schemeClr val="bg1"/>
              </a:solidFill>
            </a:rPr>
            <a:t>Remote</a:t>
          </a:r>
        </a:p>
      </xdr:txBody>
    </xdr:sp>
    <xdr:clientData/>
  </xdr:oneCellAnchor>
  <xdr:oneCellAnchor>
    <xdr:from>
      <xdr:col>2</xdr:col>
      <xdr:colOff>440584</xdr:colOff>
      <xdr:row>23</xdr:row>
      <xdr:rowOff>12192</xdr:rowOff>
    </xdr:from>
    <xdr:ext cx="1304110" cy="264560"/>
    <xdr:sp macro="" textlink="'Pivot tables'!P11">
      <xdr:nvSpPr>
        <xdr:cNvPr id="60" name="TextBox 59">
          <a:extLst>
            <a:ext uri="{FF2B5EF4-FFF2-40B4-BE49-F238E27FC236}">
              <a16:creationId xmlns:a16="http://schemas.microsoft.com/office/drawing/2014/main" id="{B87E63A5-6440-4A73-B7E3-58F9E64CAF66}"/>
            </a:ext>
          </a:extLst>
        </xdr:cNvPr>
        <xdr:cNvSpPr txBox="1"/>
      </xdr:nvSpPr>
      <xdr:spPr>
        <a:xfrm>
          <a:off x="1659784" y="4218432"/>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DF8DF0B-64E1-4332-97AD-42F0CBDC58D5}" type="TxLink">
            <a:rPr lang="en-US" sz="1100" b="1" i="0" u="none" strike="noStrike" baseline="0">
              <a:solidFill>
                <a:schemeClr val="bg1"/>
              </a:solidFill>
              <a:latin typeface="Aptos Narrow"/>
            </a:rPr>
            <a:pPr/>
            <a:t>46%</a:t>
          </a:fld>
          <a:endParaRPr lang="en-IN" sz="1100" baseline="0">
            <a:solidFill>
              <a:schemeClr val="bg1"/>
            </a:solidFill>
          </a:endParaRPr>
        </a:p>
      </xdr:txBody>
    </xdr:sp>
    <xdr:clientData/>
  </xdr:oneCellAnchor>
  <xdr:oneCellAnchor>
    <xdr:from>
      <xdr:col>2</xdr:col>
      <xdr:colOff>431620</xdr:colOff>
      <xdr:row>24</xdr:row>
      <xdr:rowOff>182808</xdr:rowOff>
    </xdr:from>
    <xdr:ext cx="1304110" cy="264560"/>
    <xdr:sp macro="" textlink="'Pivot tables'!P12">
      <xdr:nvSpPr>
        <xdr:cNvPr id="61" name="TextBox 60">
          <a:extLst>
            <a:ext uri="{FF2B5EF4-FFF2-40B4-BE49-F238E27FC236}">
              <a16:creationId xmlns:a16="http://schemas.microsoft.com/office/drawing/2014/main" id="{B55B3083-8168-4BF7-B9C2-A5B4BE54239C}"/>
            </a:ext>
          </a:extLst>
        </xdr:cNvPr>
        <xdr:cNvSpPr txBox="1"/>
      </xdr:nvSpPr>
      <xdr:spPr>
        <a:xfrm>
          <a:off x="1650820" y="4571928"/>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515813-46F1-48FF-82F8-6BDEABA134B4}" type="TxLink">
            <a:rPr lang="en-US" sz="1100" b="1" i="0" u="none" strike="noStrike" baseline="0">
              <a:solidFill>
                <a:schemeClr val="bg1"/>
              </a:solidFill>
              <a:latin typeface="Aptos Narrow"/>
            </a:rPr>
            <a:pPr/>
            <a:t>16%</a:t>
          </a:fld>
          <a:endParaRPr lang="en-IN" sz="1100" baseline="0">
            <a:solidFill>
              <a:schemeClr val="bg1"/>
            </a:solidFill>
          </a:endParaRPr>
        </a:p>
      </xdr:txBody>
    </xdr:sp>
    <xdr:clientData/>
  </xdr:oneCellAnchor>
  <xdr:oneCellAnchor>
    <xdr:from>
      <xdr:col>2</xdr:col>
      <xdr:colOff>431620</xdr:colOff>
      <xdr:row>26</xdr:row>
      <xdr:rowOff>139111</xdr:rowOff>
    </xdr:from>
    <xdr:ext cx="1304110" cy="264560"/>
    <xdr:sp macro="" textlink="'Pivot tables'!P13">
      <xdr:nvSpPr>
        <xdr:cNvPr id="62" name="TextBox 61">
          <a:extLst>
            <a:ext uri="{FF2B5EF4-FFF2-40B4-BE49-F238E27FC236}">
              <a16:creationId xmlns:a16="http://schemas.microsoft.com/office/drawing/2014/main" id="{3B835E1E-A9FD-4D4C-A556-7570A5C34CC3}"/>
            </a:ext>
          </a:extLst>
        </xdr:cNvPr>
        <xdr:cNvSpPr txBox="1"/>
      </xdr:nvSpPr>
      <xdr:spPr>
        <a:xfrm>
          <a:off x="1650820" y="4893991"/>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ED1AB1D-1E1B-4A08-A91F-C2AA24E20799}" type="TxLink">
            <a:rPr lang="en-US" sz="1100" b="1" i="0" u="none" strike="noStrike" baseline="0">
              <a:solidFill>
                <a:schemeClr val="bg1"/>
              </a:solidFill>
              <a:latin typeface="Aptos Narrow"/>
            </a:rPr>
            <a:pPr/>
            <a:t>38%</a:t>
          </a:fld>
          <a:endParaRPr lang="en-IN" sz="1100" baseline="0">
            <a:solidFill>
              <a:schemeClr val="bg1"/>
            </a:solidFill>
          </a:endParaRPr>
        </a:p>
      </xdr:txBody>
    </xdr:sp>
    <xdr:clientData/>
  </xdr:oneCellAnchor>
  <xdr:oneCellAnchor>
    <xdr:from>
      <xdr:col>0</xdr:col>
      <xdr:colOff>480757</xdr:colOff>
      <xdr:row>20</xdr:row>
      <xdr:rowOff>18981</xdr:rowOff>
    </xdr:from>
    <xdr:ext cx="1304110" cy="468077"/>
    <xdr:sp macro="" textlink="">
      <xdr:nvSpPr>
        <xdr:cNvPr id="63" name="TextBox 62">
          <a:extLst>
            <a:ext uri="{FF2B5EF4-FFF2-40B4-BE49-F238E27FC236}">
              <a16:creationId xmlns:a16="http://schemas.microsoft.com/office/drawing/2014/main" id="{CB663E47-688A-4EDC-B840-B864D842D618}"/>
            </a:ext>
          </a:extLst>
        </xdr:cNvPr>
        <xdr:cNvSpPr txBox="1"/>
      </xdr:nvSpPr>
      <xdr:spPr>
        <a:xfrm>
          <a:off x="480757" y="3676581"/>
          <a:ext cx="130411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Work Location</a:t>
          </a:r>
        </a:p>
        <a:p>
          <a:endParaRPr lang="en-IN" sz="1200" b="1" baseline="0">
            <a:solidFill>
              <a:srgbClr val="E5B244"/>
            </a:solidFill>
          </a:endParaRPr>
        </a:p>
      </xdr:txBody>
    </xdr:sp>
    <xdr:clientData/>
  </xdr:oneCellAnchor>
  <xdr:oneCellAnchor>
    <xdr:from>
      <xdr:col>0</xdr:col>
      <xdr:colOff>497677</xdr:colOff>
      <xdr:row>20</xdr:row>
      <xdr:rowOff>209882</xdr:rowOff>
    </xdr:from>
    <xdr:ext cx="1465217" cy="211725"/>
    <xdr:sp macro="" textlink="">
      <xdr:nvSpPr>
        <xdr:cNvPr id="64" name="TextBox 63">
          <a:extLst>
            <a:ext uri="{FF2B5EF4-FFF2-40B4-BE49-F238E27FC236}">
              <a16:creationId xmlns:a16="http://schemas.microsoft.com/office/drawing/2014/main" id="{31735B26-0A51-40F8-BA58-23F1FC4DEDCC}"/>
            </a:ext>
          </a:extLst>
        </xdr:cNvPr>
        <xdr:cNvSpPr txBox="1"/>
      </xdr:nvSpPr>
      <xdr:spPr>
        <a:xfrm>
          <a:off x="497677" y="3837002"/>
          <a:ext cx="1465217" cy="2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Employees to Workplace</a:t>
          </a:r>
        </a:p>
      </xdr:txBody>
    </xdr:sp>
    <xdr:clientData/>
  </xdr:oneCellAnchor>
  <xdr:oneCellAnchor>
    <xdr:from>
      <xdr:col>0</xdr:col>
      <xdr:colOff>434010</xdr:colOff>
      <xdr:row>11</xdr:row>
      <xdr:rowOff>121918</xdr:rowOff>
    </xdr:from>
    <xdr:ext cx="1177835" cy="256737"/>
    <xdr:sp macro="" textlink="">
      <xdr:nvSpPr>
        <xdr:cNvPr id="65" name="TextBox 64">
          <a:extLst>
            <a:ext uri="{FF2B5EF4-FFF2-40B4-BE49-F238E27FC236}">
              <a16:creationId xmlns:a16="http://schemas.microsoft.com/office/drawing/2014/main" id="{01AF9C65-5EB5-4A0E-B6B7-F2AF65D48527}"/>
            </a:ext>
          </a:extLst>
        </xdr:cNvPr>
        <xdr:cNvSpPr txBox="1"/>
      </xdr:nvSpPr>
      <xdr:spPr>
        <a:xfrm>
          <a:off x="434010" y="2133598"/>
          <a:ext cx="117783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Communication</a:t>
          </a:r>
          <a:endParaRPr lang="en-IN" sz="1050" baseline="0">
            <a:solidFill>
              <a:schemeClr val="bg1"/>
            </a:solidFill>
          </a:endParaRPr>
        </a:p>
      </xdr:txBody>
    </xdr:sp>
    <xdr:clientData/>
  </xdr:oneCellAnchor>
  <xdr:oneCellAnchor>
    <xdr:from>
      <xdr:col>0</xdr:col>
      <xdr:colOff>434010</xdr:colOff>
      <xdr:row>13</xdr:row>
      <xdr:rowOff>4798</xdr:rowOff>
    </xdr:from>
    <xdr:ext cx="1086395" cy="264560"/>
    <xdr:sp macro="" textlink="">
      <xdr:nvSpPr>
        <xdr:cNvPr id="66" name="TextBox 65">
          <a:extLst>
            <a:ext uri="{FF2B5EF4-FFF2-40B4-BE49-F238E27FC236}">
              <a16:creationId xmlns:a16="http://schemas.microsoft.com/office/drawing/2014/main" id="{9196C082-17F5-4340-85C4-D8BADC2ABA4D}"/>
            </a:ext>
          </a:extLst>
        </xdr:cNvPr>
        <xdr:cNvSpPr txBox="1"/>
      </xdr:nvSpPr>
      <xdr:spPr>
        <a:xfrm>
          <a:off x="434010" y="2382238"/>
          <a:ext cx="10863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aseline="0">
              <a:solidFill>
                <a:schemeClr val="bg1"/>
              </a:solidFill>
            </a:rPr>
            <a:t>Design</a:t>
          </a:r>
        </a:p>
      </xdr:txBody>
    </xdr:sp>
    <xdr:clientData/>
  </xdr:oneCellAnchor>
  <xdr:oneCellAnchor>
    <xdr:from>
      <xdr:col>0</xdr:col>
      <xdr:colOff>434010</xdr:colOff>
      <xdr:row>14</xdr:row>
      <xdr:rowOff>108861</xdr:rowOff>
    </xdr:from>
    <xdr:ext cx="1086395" cy="248851"/>
    <xdr:sp macro="" textlink="">
      <xdr:nvSpPr>
        <xdr:cNvPr id="67" name="TextBox 66">
          <a:extLst>
            <a:ext uri="{FF2B5EF4-FFF2-40B4-BE49-F238E27FC236}">
              <a16:creationId xmlns:a16="http://schemas.microsoft.com/office/drawing/2014/main" id="{92A6F5EB-913F-4D51-A46A-41837F38CE51}"/>
            </a:ext>
          </a:extLst>
        </xdr:cNvPr>
        <xdr:cNvSpPr txBox="1"/>
      </xdr:nvSpPr>
      <xdr:spPr>
        <a:xfrm>
          <a:off x="434010" y="2669181"/>
          <a:ext cx="108639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Excel</a:t>
          </a:r>
          <a:endParaRPr lang="en-IN" sz="1050" baseline="0">
            <a:solidFill>
              <a:schemeClr val="bg1"/>
            </a:solidFill>
          </a:endParaRPr>
        </a:p>
      </xdr:txBody>
    </xdr:sp>
    <xdr:clientData/>
  </xdr:oneCellAnchor>
  <xdr:oneCellAnchor>
    <xdr:from>
      <xdr:col>0</xdr:col>
      <xdr:colOff>434010</xdr:colOff>
      <xdr:row>16</xdr:row>
      <xdr:rowOff>889</xdr:rowOff>
    </xdr:from>
    <xdr:ext cx="1086395" cy="248851"/>
    <xdr:sp macro="" textlink="">
      <xdr:nvSpPr>
        <xdr:cNvPr id="68" name="TextBox 67">
          <a:extLst>
            <a:ext uri="{FF2B5EF4-FFF2-40B4-BE49-F238E27FC236}">
              <a16:creationId xmlns:a16="http://schemas.microsoft.com/office/drawing/2014/main" id="{99657972-8467-452A-BB64-085E45AF4578}"/>
            </a:ext>
          </a:extLst>
        </xdr:cNvPr>
        <xdr:cNvSpPr txBox="1"/>
      </xdr:nvSpPr>
      <xdr:spPr>
        <a:xfrm>
          <a:off x="434010" y="2926969"/>
          <a:ext cx="108639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Management</a:t>
          </a:r>
          <a:endParaRPr lang="en-IN" sz="1050" baseline="0">
            <a:solidFill>
              <a:schemeClr val="bg1"/>
            </a:solidFill>
          </a:endParaRPr>
        </a:p>
      </xdr:txBody>
    </xdr:sp>
    <xdr:clientData/>
  </xdr:oneCellAnchor>
  <xdr:oneCellAnchor>
    <xdr:from>
      <xdr:col>0</xdr:col>
      <xdr:colOff>434010</xdr:colOff>
      <xdr:row>17</xdr:row>
      <xdr:rowOff>103629</xdr:rowOff>
    </xdr:from>
    <xdr:ext cx="1086395" cy="248851"/>
    <xdr:sp macro="" textlink="">
      <xdr:nvSpPr>
        <xdr:cNvPr id="69" name="TextBox 68">
          <a:extLst>
            <a:ext uri="{FF2B5EF4-FFF2-40B4-BE49-F238E27FC236}">
              <a16:creationId xmlns:a16="http://schemas.microsoft.com/office/drawing/2014/main" id="{A73B7B7F-93D2-4FE6-B71D-2AE5CFEB2DC3}"/>
            </a:ext>
          </a:extLst>
        </xdr:cNvPr>
        <xdr:cNvSpPr txBox="1"/>
      </xdr:nvSpPr>
      <xdr:spPr>
        <a:xfrm>
          <a:off x="434010" y="3212589"/>
          <a:ext cx="108639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Python</a:t>
          </a:r>
          <a:endParaRPr lang="en-IN" sz="1050" baseline="0">
            <a:solidFill>
              <a:schemeClr val="bg1"/>
            </a:solidFill>
          </a:endParaRPr>
        </a:p>
      </xdr:txBody>
    </xdr:sp>
    <xdr:clientData/>
  </xdr:oneCellAnchor>
  <xdr:oneCellAnchor>
    <xdr:from>
      <xdr:col>2</xdr:col>
      <xdr:colOff>383177</xdr:colOff>
      <xdr:row>11</xdr:row>
      <xdr:rowOff>92530</xdr:rowOff>
    </xdr:from>
    <xdr:ext cx="918758" cy="301749"/>
    <xdr:sp macro="" textlink="'Pivot tables'!T13">
      <xdr:nvSpPr>
        <xdr:cNvPr id="70" name="TextBox 69">
          <a:extLst>
            <a:ext uri="{FF2B5EF4-FFF2-40B4-BE49-F238E27FC236}">
              <a16:creationId xmlns:a16="http://schemas.microsoft.com/office/drawing/2014/main" id="{3F110917-A1FE-40C8-A768-38522A868A63}"/>
            </a:ext>
          </a:extLst>
        </xdr:cNvPr>
        <xdr:cNvSpPr txBox="1"/>
      </xdr:nvSpPr>
      <xdr:spPr>
        <a:xfrm>
          <a:off x="1602377" y="2104210"/>
          <a:ext cx="918758"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EB217DA-C3C9-4085-83E3-9910665897D6}" type="TxLink">
            <a:rPr lang="en-US" sz="1200" b="1" i="0" u="none" strike="noStrike" baseline="0">
              <a:solidFill>
                <a:srgbClr val="E5B244"/>
              </a:solidFill>
              <a:latin typeface="Segoe UI Emoji"/>
              <a:ea typeface="Segoe UI Emoji"/>
            </a:rPr>
            <a:pPr/>
            <a:t>12</a:t>
          </a:fld>
          <a:endParaRPr lang="en-IN" sz="1100" b="1" baseline="0">
            <a:solidFill>
              <a:srgbClr val="E5B244"/>
            </a:solidFill>
          </a:endParaRPr>
        </a:p>
      </xdr:txBody>
    </xdr:sp>
    <xdr:clientData/>
  </xdr:oneCellAnchor>
  <xdr:oneCellAnchor>
    <xdr:from>
      <xdr:col>2</xdr:col>
      <xdr:colOff>383177</xdr:colOff>
      <xdr:row>12</xdr:row>
      <xdr:rowOff>194638</xdr:rowOff>
    </xdr:from>
    <xdr:ext cx="847431" cy="301749"/>
    <xdr:sp macro="" textlink="'Pivot tables'!T14">
      <xdr:nvSpPr>
        <xdr:cNvPr id="71" name="TextBox 70">
          <a:extLst>
            <a:ext uri="{FF2B5EF4-FFF2-40B4-BE49-F238E27FC236}">
              <a16:creationId xmlns:a16="http://schemas.microsoft.com/office/drawing/2014/main" id="{D797A27E-8DAE-410A-9F2C-10163129A5B0}"/>
            </a:ext>
          </a:extLst>
        </xdr:cNvPr>
        <xdr:cNvSpPr txBox="1"/>
      </xdr:nvSpPr>
      <xdr:spPr>
        <a:xfrm>
          <a:off x="1602377" y="2373958"/>
          <a:ext cx="847431"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7F761F-EC3B-4CFC-88AC-C9BB1E33D75B}" type="TxLink">
            <a:rPr lang="en-US" sz="1200" b="1" i="0" u="none" strike="noStrike" baseline="0">
              <a:solidFill>
                <a:srgbClr val="E5B244"/>
              </a:solidFill>
              <a:latin typeface="Segoe UI Emoji"/>
              <a:ea typeface="Segoe UI Emoji"/>
            </a:rPr>
            <a:pPr/>
            <a:t>11</a:t>
          </a:fld>
          <a:endParaRPr lang="en-IN" sz="1100" b="1" baseline="0">
            <a:solidFill>
              <a:srgbClr val="E5B244"/>
            </a:solidFill>
          </a:endParaRPr>
        </a:p>
      </xdr:txBody>
    </xdr:sp>
    <xdr:clientData/>
  </xdr:oneCellAnchor>
  <xdr:oneCellAnchor>
    <xdr:from>
      <xdr:col>2</xdr:col>
      <xdr:colOff>383177</xdr:colOff>
      <xdr:row>14</xdr:row>
      <xdr:rowOff>83386</xdr:rowOff>
    </xdr:from>
    <xdr:ext cx="847431" cy="301749"/>
    <xdr:sp macro="" textlink="'Pivot tables'!T15">
      <xdr:nvSpPr>
        <xdr:cNvPr id="72" name="TextBox 71">
          <a:extLst>
            <a:ext uri="{FF2B5EF4-FFF2-40B4-BE49-F238E27FC236}">
              <a16:creationId xmlns:a16="http://schemas.microsoft.com/office/drawing/2014/main" id="{861DB4E9-0E2F-44A7-8AF9-88DF1861C3FA}"/>
            </a:ext>
          </a:extLst>
        </xdr:cNvPr>
        <xdr:cNvSpPr txBox="1"/>
      </xdr:nvSpPr>
      <xdr:spPr>
        <a:xfrm>
          <a:off x="1602377" y="2643706"/>
          <a:ext cx="847431"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4302BF-6CF2-446A-83E3-EB1AE0C94670}" type="TxLink">
            <a:rPr lang="en-US" sz="1200" b="1" i="0" u="none" strike="noStrike" baseline="0">
              <a:solidFill>
                <a:srgbClr val="E5B244"/>
              </a:solidFill>
              <a:latin typeface="Segoe UI Emoji"/>
              <a:ea typeface="Segoe UI Emoji"/>
            </a:rPr>
            <a:pPr/>
            <a:t>7</a:t>
          </a:fld>
          <a:endParaRPr lang="en-IN" sz="1100" b="1" baseline="0">
            <a:solidFill>
              <a:srgbClr val="E5B244"/>
            </a:solidFill>
          </a:endParaRPr>
        </a:p>
      </xdr:txBody>
    </xdr:sp>
    <xdr:clientData/>
  </xdr:oneCellAnchor>
  <xdr:oneCellAnchor>
    <xdr:from>
      <xdr:col>2</xdr:col>
      <xdr:colOff>383177</xdr:colOff>
      <xdr:row>15</xdr:row>
      <xdr:rowOff>185494</xdr:rowOff>
    </xdr:from>
    <xdr:ext cx="847431" cy="301749"/>
    <xdr:sp macro="" textlink="'Pivot tables'!T16">
      <xdr:nvSpPr>
        <xdr:cNvPr id="73" name="TextBox 72">
          <a:extLst>
            <a:ext uri="{FF2B5EF4-FFF2-40B4-BE49-F238E27FC236}">
              <a16:creationId xmlns:a16="http://schemas.microsoft.com/office/drawing/2014/main" id="{E31C98C7-F977-4577-84C1-15CC4F60B580}"/>
            </a:ext>
          </a:extLst>
        </xdr:cNvPr>
        <xdr:cNvSpPr txBox="1"/>
      </xdr:nvSpPr>
      <xdr:spPr>
        <a:xfrm>
          <a:off x="1602377" y="2928694"/>
          <a:ext cx="847431"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494B7BA-7468-4E84-9F66-CE82E75A1885}" type="TxLink">
            <a:rPr lang="en-US" sz="1200" b="0" i="0" u="none" strike="noStrike" baseline="0">
              <a:solidFill>
                <a:srgbClr val="E5B244"/>
              </a:solidFill>
              <a:latin typeface="Segoe UI Emoji"/>
              <a:ea typeface="Segoe UI Emoji"/>
            </a:rPr>
            <a:pPr/>
            <a:t>11</a:t>
          </a:fld>
          <a:endParaRPr lang="en-IN" sz="1100" baseline="0">
            <a:solidFill>
              <a:srgbClr val="E5B244"/>
            </a:solidFill>
          </a:endParaRPr>
        </a:p>
      </xdr:txBody>
    </xdr:sp>
    <xdr:clientData/>
  </xdr:oneCellAnchor>
  <xdr:oneCellAnchor>
    <xdr:from>
      <xdr:col>2</xdr:col>
      <xdr:colOff>383177</xdr:colOff>
      <xdr:row>17</xdr:row>
      <xdr:rowOff>74241</xdr:rowOff>
    </xdr:from>
    <xdr:ext cx="847431" cy="301749"/>
    <xdr:sp macro="" textlink="'Pivot tables'!T17">
      <xdr:nvSpPr>
        <xdr:cNvPr id="74" name="TextBox 73">
          <a:extLst>
            <a:ext uri="{FF2B5EF4-FFF2-40B4-BE49-F238E27FC236}">
              <a16:creationId xmlns:a16="http://schemas.microsoft.com/office/drawing/2014/main" id="{AEF3CB9A-A766-4717-A2DB-45C7CC8436EC}"/>
            </a:ext>
          </a:extLst>
        </xdr:cNvPr>
        <xdr:cNvSpPr txBox="1"/>
      </xdr:nvSpPr>
      <xdr:spPr>
        <a:xfrm>
          <a:off x="1602377" y="3183201"/>
          <a:ext cx="847431"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75A9FD9-1A82-451B-BA90-09B4EF9278B1}" type="TxLink">
            <a:rPr lang="en-US" sz="1200" b="0" i="0" u="none" strike="noStrike" baseline="0">
              <a:solidFill>
                <a:srgbClr val="E5B244"/>
              </a:solidFill>
              <a:latin typeface="Segoe UI Emoji"/>
              <a:ea typeface="Segoe UI Emoji"/>
            </a:rPr>
            <a:pPr/>
            <a:t>9</a:t>
          </a:fld>
          <a:endParaRPr lang="en-IN" sz="1100" baseline="0">
            <a:solidFill>
              <a:srgbClr val="E5B244"/>
            </a:solidFill>
          </a:endParaRPr>
        </a:p>
      </xdr:txBody>
    </xdr:sp>
    <xdr:clientData/>
  </xdr:oneCellAnchor>
  <xdr:oneCellAnchor>
    <xdr:from>
      <xdr:col>0</xdr:col>
      <xdr:colOff>434010</xdr:colOff>
      <xdr:row>9</xdr:row>
      <xdr:rowOff>9798</xdr:rowOff>
    </xdr:from>
    <xdr:ext cx="1735181" cy="468077"/>
    <xdr:sp macro="" textlink="">
      <xdr:nvSpPr>
        <xdr:cNvPr id="75" name="TextBox 74">
          <a:extLst>
            <a:ext uri="{FF2B5EF4-FFF2-40B4-BE49-F238E27FC236}">
              <a16:creationId xmlns:a16="http://schemas.microsoft.com/office/drawing/2014/main" id="{D6ACF636-FCA1-4EAF-8DDA-554341E4AD6E}"/>
            </a:ext>
          </a:extLst>
        </xdr:cNvPr>
        <xdr:cNvSpPr txBox="1"/>
      </xdr:nvSpPr>
      <xdr:spPr>
        <a:xfrm>
          <a:off x="434010" y="1655718"/>
          <a:ext cx="1735181"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Skills</a:t>
          </a:r>
        </a:p>
        <a:p>
          <a:r>
            <a:rPr lang="en-IN" sz="1200" b="1" baseline="0">
              <a:solidFill>
                <a:srgbClr val="E5B244"/>
              </a:solidFill>
            </a:rPr>
            <a:t>Brerakdown</a:t>
          </a:r>
        </a:p>
      </xdr:txBody>
    </xdr:sp>
    <xdr:clientData/>
  </xdr:oneCellAnchor>
  <xdr:oneCellAnchor>
    <xdr:from>
      <xdr:col>4</xdr:col>
      <xdr:colOff>115102</xdr:colOff>
      <xdr:row>5</xdr:row>
      <xdr:rowOff>127074</xdr:rowOff>
    </xdr:from>
    <xdr:ext cx="1447352" cy="280205"/>
    <xdr:sp macro="" textlink="">
      <xdr:nvSpPr>
        <xdr:cNvPr id="76" name="TextBox 75">
          <a:extLst>
            <a:ext uri="{FF2B5EF4-FFF2-40B4-BE49-F238E27FC236}">
              <a16:creationId xmlns:a16="http://schemas.microsoft.com/office/drawing/2014/main" id="{5AA0C47E-9047-4562-9208-9AEB94A9D8E1}"/>
            </a:ext>
          </a:extLst>
        </xdr:cNvPr>
        <xdr:cNvSpPr txBox="1"/>
      </xdr:nvSpPr>
      <xdr:spPr>
        <a:xfrm>
          <a:off x="2553502" y="1041474"/>
          <a:ext cx="14473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1" baseline="0">
              <a:solidFill>
                <a:srgbClr val="E5B244"/>
              </a:solidFill>
            </a:rPr>
            <a:t>Employee Number</a:t>
          </a:r>
        </a:p>
      </xdr:txBody>
    </xdr:sp>
    <xdr:clientData/>
  </xdr:oneCellAnchor>
  <xdr:oneCellAnchor>
    <xdr:from>
      <xdr:col>4</xdr:col>
      <xdr:colOff>79479</xdr:colOff>
      <xdr:row>6</xdr:row>
      <xdr:rowOff>92160</xdr:rowOff>
    </xdr:from>
    <xdr:ext cx="1304110" cy="650756"/>
    <xdr:sp macro="" textlink="'Pivot tables'!AB35">
      <xdr:nvSpPr>
        <xdr:cNvPr id="77" name="TextBox 76">
          <a:extLst>
            <a:ext uri="{FF2B5EF4-FFF2-40B4-BE49-F238E27FC236}">
              <a16:creationId xmlns:a16="http://schemas.microsoft.com/office/drawing/2014/main" id="{90D831DE-B425-470B-A39C-138C26232F98}"/>
            </a:ext>
          </a:extLst>
        </xdr:cNvPr>
        <xdr:cNvSpPr txBox="1"/>
      </xdr:nvSpPr>
      <xdr:spPr>
        <a:xfrm>
          <a:off x="2517879" y="1189440"/>
          <a:ext cx="1304110" cy="650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E80FD08-7CCB-4DF1-837C-12802F714579}" type="TxLink">
            <a:rPr lang="en-US" sz="3200" b="1" i="0" u="none" strike="noStrike" baseline="0">
              <a:solidFill>
                <a:schemeClr val="bg1"/>
              </a:solidFill>
              <a:latin typeface="Segoe UI Emoji"/>
              <a:ea typeface="Segoe UI Emoji"/>
            </a:rPr>
            <a:pPr/>
            <a:t> </a:t>
          </a:fld>
          <a:endParaRPr lang="en-IN" sz="3200" b="1" baseline="0">
            <a:solidFill>
              <a:schemeClr val="bg1"/>
            </a:solidFill>
          </a:endParaRPr>
        </a:p>
      </xdr:txBody>
    </xdr:sp>
    <xdr:clientData/>
  </xdr:oneCellAnchor>
  <xdr:oneCellAnchor>
    <xdr:from>
      <xdr:col>4</xdr:col>
      <xdr:colOff>151197</xdr:colOff>
      <xdr:row>8</xdr:row>
      <xdr:rowOff>200208</xdr:rowOff>
    </xdr:from>
    <xdr:ext cx="1304110" cy="264560"/>
    <xdr:sp macro="" textlink="">
      <xdr:nvSpPr>
        <xdr:cNvPr id="78" name="TextBox 77">
          <a:extLst>
            <a:ext uri="{FF2B5EF4-FFF2-40B4-BE49-F238E27FC236}">
              <a16:creationId xmlns:a16="http://schemas.microsoft.com/office/drawing/2014/main" id="{1CB5E91B-BF73-477B-88C4-D0D6C2A24381}"/>
            </a:ext>
          </a:extLst>
        </xdr:cNvPr>
        <xdr:cNvSpPr txBox="1"/>
      </xdr:nvSpPr>
      <xdr:spPr>
        <a:xfrm>
          <a:off x="2589597" y="1648008"/>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baseline="0">
              <a:solidFill>
                <a:schemeClr val="bg1"/>
              </a:solidFill>
            </a:rPr>
            <a:t>Total Employees</a:t>
          </a:r>
        </a:p>
      </xdr:txBody>
    </xdr:sp>
    <xdr:clientData/>
  </xdr:oneCellAnchor>
  <xdr:oneCellAnchor>
    <xdr:from>
      <xdr:col>6</xdr:col>
      <xdr:colOff>10886</xdr:colOff>
      <xdr:row>5</xdr:row>
      <xdr:rowOff>201672</xdr:rowOff>
    </xdr:from>
    <xdr:ext cx="914400" cy="940182"/>
    <xdr:pic>
      <xdr:nvPicPr>
        <xdr:cNvPr id="79" name="Graphic 78" descr="Female Profile outline">
          <a:extLst>
            <a:ext uri="{FF2B5EF4-FFF2-40B4-BE49-F238E27FC236}">
              <a16:creationId xmlns:a16="http://schemas.microsoft.com/office/drawing/2014/main" id="{052A347F-D5F9-441A-B568-DFE0D42000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68486" y="1100832"/>
          <a:ext cx="914400" cy="940182"/>
        </a:xfrm>
        <a:prstGeom prst="rect">
          <a:avLst/>
        </a:prstGeom>
      </xdr:spPr>
    </xdr:pic>
    <xdr:clientData/>
  </xdr:oneCellAnchor>
  <xdr:oneCellAnchor>
    <xdr:from>
      <xdr:col>6</xdr:col>
      <xdr:colOff>411258</xdr:colOff>
      <xdr:row>6</xdr:row>
      <xdr:rowOff>117342</xdr:rowOff>
    </xdr:from>
    <xdr:ext cx="914400" cy="940182"/>
    <xdr:pic>
      <xdr:nvPicPr>
        <xdr:cNvPr id="80" name="Graphic 79" descr="Male profile outline">
          <a:extLst>
            <a:ext uri="{FF2B5EF4-FFF2-40B4-BE49-F238E27FC236}">
              <a16:creationId xmlns:a16="http://schemas.microsoft.com/office/drawing/2014/main" id="{FBCAFCF0-0378-4EBD-B89B-4767F4185BA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68858" y="1214622"/>
          <a:ext cx="914400" cy="940182"/>
        </a:xfrm>
        <a:prstGeom prst="rect">
          <a:avLst/>
        </a:prstGeom>
      </xdr:spPr>
    </xdr:pic>
    <xdr:clientData/>
  </xdr:oneCellAnchor>
  <xdr:oneCellAnchor>
    <xdr:from>
      <xdr:col>4</xdr:col>
      <xdr:colOff>15240</xdr:colOff>
      <xdr:row>11</xdr:row>
      <xdr:rowOff>81906</xdr:rowOff>
    </xdr:from>
    <xdr:ext cx="1304110" cy="280205"/>
    <xdr:sp macro="" textlink="">
      <xdr:nvSpPr>
        <xdr:cNvPr id="81" name="TextBox 80">
          <a:extLst>
            <a:ext uri="{FF2B5EF4-FFF2-40B4-BE49-F238E27FC236}">
              <a16:creationId xmlns:a16="http://schemas.microsoft.com/office/drawing/2014/main" id="{25E44E51-5C03-4AA4-9DFE-27D3D71CE799}"/>
            </a:ext>
          </a:extLst>
        </xdr:cNvPr>
        <xdr:cNvSpPr txBox="1"/>
      </xdr:nvSpPr>
      <xdr:spPr>
        <a:xfrm>
          <a:off x="2453640" y="2093586"/>
          <a:ext cx="13041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baseline="0">
              <a:solidFill>
                <a:srgbClr val="E5B244"/>
              </a:solidFill>
            </a:rPr>
            <a:t>Males</a:t>
          </a:r>
        </a:p>
      </xdr:txBody>
    </xdr:sp>
    <xdr:clientData/>
  </xdr:oneCellAnchor>
  <xdr:oneCellAnchor>
    <xdr:from>
      <xdr:col>6</xdr:col>
      <xdr:colOff>68580</xdr:colOff>
      <xdr:row>11</xdr:row>
      <xdr:rowOff>89526</xdr:rowOff>
    </xdr:from>
    <xdr:ext cx="1304110" cy="280205"/>
    <xdr:sp macro="" textlink="">
      <xdr:nvSpPr>
        <xdr:cNvPr id="82" name="TextBox 81">
          <a:extLst>
            <a:ext uri="{FF2B5EF4-FFF2-40B4-BE49-F238E27FC236}">
              <a16:creationId xmlns:a16="http://schemas.microsoft.com/office/drawing/2014/main" id="{527C0AA6-5604-4641-B1C6-02C85ECC94EF}"/>
            </a:ext>
          </a:extLst>
        </xdr:cNvPr>
        <xdr:cNvSpPr txBox="1"/>
      </xdr:nvSpPr>
      <xdr:spPr>
        <a:xfrm>
          <a:off x="3726180" y="2101206"/>
          <a:ext cx="13041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baseline="0">
              <a:solidFill>
                <a:srgbClr val="E5B244"/>
              </a:solidFill>
            </a:rPr>
            <a:t>Females</a:t>
          </a:r>
        </a:p>
      </xdr:txBody>
    </xdr:sp>
    <xdr:clientData/>
  </xdr:oneCellAnchor>
  <xdr:twoCellAnchor>
    <xdr:from>
      <xdr:col>3</xdr:col>
      <xdr:colOff>585569</xdr:colOff>
      <xdr:row>12</xdr:row>
      <xdr:rowOff>47442</xdr:rowOff>
    </xdr:from>
    <xdr:to>
      <xdr:col>6</xdr:col>
      <xdr:colOff>9893</xdr:colOff>
      <xdr:row>16</xdr:row>
      <xdr:rowOff>111371</xdr:rowOff>
    </xdr:to>
    <xdr:graphicFrame macro="">
      <xdr:nvGraphicFramePr>
        <xdr:cNvPr id="83" name="Chart 82">
          <a:extLst>
            <a:ext uri="{FF2B5EF4-FFF2-40B4-BE49-F238E27FC236}">
              <a16:creationId xmlns:a16="http://schemas.microsoft.com/office/drawing/2014/main" id="{51332056-8E0A-44E3-8D1A-67CA2EB8D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48138</xdr:colOff>
      <xdr:row>12</xdr:row>
      <xdr:rowOff>46892</xdr:rowOff>
    </xdr:from>
    <xdr:to>
      <xdr:col>8</xdr:col>
      <xdr:colOff>82062</xdr:colOff>
      <xdr:row>16</xdr:row>
      <xdr:rowOff>110821</xdr:rowOff>
    </xdr:to>
    <xdr:graphicFrame macro="">
      <xdr:nvGraphicFramePr>
        <xdr:cNvPr id="84" name="Chart 83">
          <a:extLst>
            <a:ext uri="{FF2B5EF4-FFF2-40B4-BE49-F238E27FC236}">
              <a16:creationId xmlns:a16="http://schemas.microsoft.com/office/drawing/2014/main" id="{93FC7E13-B495-41F6-A104-E22BB6299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4</xdr:col>
      <xdr:colOff>343485</xdr:colOff>
      <xdr:row>13</xdr:row>
      <xdr:rowOff>93157</xdr:rowOff>
    </xdr:from>
    <xdr:ext cx="541607" cy="336631"/>
    <xdr:sp macro="" textlink="'Pivot tables'!$K$22">
      <xdr:nvSpPr>
        <xdr:cNvPr id="85" name="TextBox 84">
          <a:extLst>
            <a:ext uri="{FF2B5EF4-FFF2-40B4-BE49-F238E27FC236}">
              <a16:creationId xmlns:a16="http://schemas.microsoft.com/office/drawing/2014/main" id="{541ADEBB-3A0E-4B12-A499-ABAAACB18587}"/>
            </a:ext>
          </a:extLst>
        </xdr:cNvPr>
        <xdr:cNvSpPr txBox="1"/>
      </xdr:nvSpPr>
      <xdr:spPr>
        <a:xfrm>
          <a:off x="2781885" y="2470597"/>
          <a:ext cx="541607"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88809A9-D423-4CC4-99D5-03FD07C84972}" type="TxLink">
            <a:rPr lang="en-US" sz="1400" b="1" i="0" u="none" strike="noStrike" baseline="0">
              <a:solidFill>
                <a:schemeClr val="bg1"/>
              </a:solidFill>
              <a:latin typeface="Segoe UI Emoji"/>
              <a:ea typeface="Segoe UI Emoji"/>
            </a:rPr>
            <a:pPr/>
            <a:t>48%</a:t>
          </a:fld>
          <a:endParaRPr lang="en-IN" sz="2400" b="1" baseline="0">
            <a:solidFill>
              <a:schemeClr val="bg1"/>
            </a:solidFill>
          </a:endParaRPr>
        </a:p>
      </xdr:txBody>
    </xdr:sp>
    <xdr:clientData/>
  </xdr:oneCellAnchor>
  <xdr:oneCellAnchor>
    <xdr:from>
      <xdr:col>6</xdr:col>
      <xdr:colOff>407963</xdr:colOff>
      <xdr:row>13</xdr:row>
      <xdr:rowOff>87296</xdr:rowOff>
    </xdr:from>
    <xdr:ext cx="541607" cy="336631"/>
    <xdr:sp macro="" textlink="'Pivot tables'!$K$23">
      <xdr:nvSpPr>
        <xdr:cNvPr id="86" name="TextBox 85">
          <a:extLst>
            <a:ext uri="{FF2B5EF4-FFF2-40B4-BE49-F238E27FC236}">
              <a16:creationId xmlns:a16="http://schemas.microsoft.com/office/drawing/2014/main" id="{BDD1EAFE-B4FD-40A9-8AA2-ED12E15140F2}"/>
            </a:ext>
          </a:extLst>
        </xdr:cNvPr>
        <xdr:cNvSpPr txBox="1"/>
      </xdr:nvSpPr>
      <xdr:spPr>
        <a:xfrm>
          <a:off x="4065563" y="2464736"/>
          <a:ext cx="541607"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FEF661-9503-4E96-BE58-D6F9B0CB7DFA}" type="TxLink">
            <a:rPr lang="en-US" sz="1400" b="1" i="0" u="none" strike="noStrike" baseline="0">
              <a:solidFill>
                <a:schemeClr val="bg1"/>
              </a:solidFill>
              <a:latin typeface="Segoe UI Emoji"/>
              <a:ea typeface="Segoe UI Emoji"/>
            </a:rPr>
            <a:pPr/>
            <a:t>52%</a:t>
          </a:fld>
          <a:endParaRPr lang="en-IN" sz="3200" b="1" baseline="0">
            <a:solidFill>
              <a:schemeClr val="bg1"/>
            </a:solidFill>
          </a:endParaRPr>
        </a:p>
      </xdr:txBody>
    </xdr:sp>
    <xdr:clientData/>
  </xdr:oneCellAnchor>
  <xdr:twoCellAnchor>
    <xdr:from>
      <xdr:col>8</xdr:col>
      <xdr:colOff>357555</xdr:colOff>
      <xdr:row>7</xdr:row>
      <xdr:rowOff>42862</xdr:rowOff>
    </xdr:from>
    <xdr:to>
      <xdr:col>12</xdr:col>
      <xdr:colOff>252412</xdr:colOff>
      <xdr:row>14</xdr:row>
      <xdr:rowOff>134977</xdr:rowOff>
    </xdr:to>
    <xdr:graphicFrame macro="">
      <xdr:nvGraphicFramePr>
        <xdr:cNvPr id="87" name="Chart 86">
          <a:extLst>
            <a:ext uri="{FF2B5EF4-FFF2-40B4-BE49-F238E27FC236}">
              <a16:creationId xmlns:a16="http://schemas.microsoft.com/office/drawing/2014/main" id="{7FE1AEF5-17D5-41F6-81F6-3917300A2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8</xdr:col>
      <xdr:colOff>540215</xdr:colOff>
      <xdr:row>13</xdr:row>
      <xdr:rowOff>214159</xdr:rowOff>
    </xdr:from>
    <xdr:ext cx="568569" cy="248851"/>
    <xdr:sp macro="" textlink="">
      <xdr:nvSpPr>
        <xdr:cNvPr id="88" name="TextBox 87">
          <a:extLst>
            <a:ext uri="{FF2B5EF4-FFF2-40B4-BE49-F238E27FC236}">
              <a16:creationId xmlns:a16="http://schemas.microsoft.com/office/drawing/2014/main" id="{D35BC50E-417D-4E30-9C0F-DB4A34B389FB}"/>
            </a:ext>
          </a:extLst>
        </xdr:cNvPr>
        <xdr:cNvSpPr txBox="1"/>
      </xdr:nvSpPr>
      <xdr:spPr>
        <a:xfrm>
          <a:off x="5417015" y="2561119"/>
          <a:ext cx="56856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Analyst</a:t>
          </a:r>
        </a:p>
      </xdr:txBody>
    </xdr:sp>
    <xdr:clientData/>
  </xdr:oneCellAnchor>
  <xdr:twoCellAnchor>
    <xdr:from>
      <xdr:col>8</xdr:col>
      <xdr:colOff>458153</xdr:colOff>
      <xdr:row>14</xdr:row>
      <xdr:rowOff>75895</xdr:rowOff>
    </xdr:from>
    <xdr:to>
      <xdr:col>8</xdr:col>
      <xdr:colOff>566153</xdr:colOff>
      <xdr:row>14</xdr:row>
      <xdr:rowOff>183895</xdr:rowOff>
    </xdr:to>
    <xdr:sp macro="" textlink="">
      <xdr:nvSpPr>
        <xdr:cNvPr id="89" name="Oval 88">
          <a:extLst>
            <a:ext uri="{FF2B5EF4-FFF2-40B4-BE49-F238E27FC236}">
              <a16:creationId xmlns:a16="http://schemas.microsoft.com/office/drawing/2014/main" id="{245E293E-A159-4AF8-9117-5D5471B99236}"/>
            </a:ext>
          </a:extLst>
        </xdr:cNvPr>
        <xdr:cNvSpPr/>
      </xdr:nvSpPr>
      <xdr:spPr>
        <a:xfrm>
          <a:off x="5334953" y="2636215"/>
          <a:ext cx="108000" cy="108000"/>
        </a:xfrm>
        <a:prstGeom prst="ellipse">
          <a:avLst/>
        </a:prstGeom>
        <a:solidFill>
          <a:srgbClr val="CCCC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540214</xdr:colOff>
      <xdr:row>15</xdr:row>
      <xdr:rowOff>17431</xdr:rowOff>
    </xdr:from>
    <xdr:ext cx="715108" cy="248851"/>
    <xdr:sp macro="" textlink="">
      <xdr:nvSpPr>
        <xdr:cNvPr id="90" name="TextBox 89">
          <a:extLst>
            <a:ext uri="{FF2B5EF4-FFF2-40B4-BE49-F238E27FC236}">
              <a16:creationId xmlns:a16="http://schemas.microsoft.com/office/drawing/2014/main" id="{C0594E4B-7126-4CF0-BE2C-8F1AE9F2E4B5}"/>
            </a:ext>
          </a:extLst>
        </xdr:cNvPr>
        <xdr:cNvSpPr txBox="1"/>
      </xdr:nvSpPr>
      <xdr:spPr>
        <a:xfrm>
          <a:off x="5417014" y="2760631"/>
          <a:ext cx="71510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Developer</a:t>
          </a:r>
        </a:p>
      </xdr:txBody>
    </xdr:sp>
    <xdr:clientData/>
  </xdr:oneCellAnchor>
  <xdr:twoCellAnchor>
    <xdr:from>
      <xdr:col>8</xdr:col>
      <xdr:colOff>458152</xdr:colOff>
      <xdr:row>15</xdr:row>
      <xdr:rowOff>93479</xdr:rowOff>
    </xdr:from>
    <xdr:to>
      <xdr:col>8</xdr:col>
      <xdr:colOff>566152</xdr:colOff>
      <xdr:row>15</xdr:row>
      <xdr:rowOff>201479</xdr:rowOff>
    </xdr:to>
    <xdr:sp macro="" textlink="">
      <xdr:nvSpPr>
        <xdr:cNvPr id="91" name="Oval 90">
          <a:extLst>
            <a:ext uri="{FF2B5EF4-FFF2-40B4-BE49-F238E27FC236}">
              <a16:creationId xmlns:a16="http://schemas.microsoft.com/office/drawing/2014/main" id="{CB207D2C-7E12-4E79-8712-538F3E18DDC0}"/>
            </a:ext>
          </a:extLst>
        </xdr:cNvPr>
        <xdr:cNvSpPr/>
      </xdr:nvSpPr>
      <xdr:spPr>
        <a:xfrm>
          <a:off x="5334952" y="2836679"/>
          <a:ext cx="108000" cy="92760"/>
        </a:xfrm>
        <a:prstGeom prst="ellipse">
          <a:avLst/>
        </a:prstGeom>
        <a:solidFill>
          <a:srgbClr val="EEF5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94738</xdr:colOff>
      <xdr:row>14</xdr:row>
      <xdr:rowOff>5708</xdr:rowOff>
    </xdr:from>
    <xdr:ext cx="662353" cy="248851"/>
    <xdr:sp macro="" textlink="">
      <xdr:nvSpPr>
        <xdr:cNvPr id="92" name="TextBox 91">
          <a:extLst>
            <a:ext uri="{FF2B5EF4-FFF2-40B4-BE49-F238E27FC236}">
              <a16:creationId xmlns:a16="http://schemas.microsoft.com/office/drawing/2014/main" id="{4648E45C-043B-4AD2-AFEC-837F3286A8AD}"/>
            </a:ext>
          </a:extLst>
        </xdr:cNvPr>
        <xdr:cNvSpPr txBox="1"/>
      </xdr:nvSpPr>
      <xdr:spPr>
        <a:xfrm>
          <a:off x="6190738" y="2566028"/>
          <a:ext cx="66235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Manager</a:t>
          </a:r>
        </a:p>
      </xdr:txBody>
    </xdr:sp>
    <xdr:clientData/>
  </xdr:oneCellAnchor>
  <xdr:twoCellAnchor>
    <xdr:from>
      <xdr:col>10</xdr:col>
      <xdr:colOff>12676</xdr:colOff>
      <xdr:row>14</xdr:row>
      <xdr:rowOff>81756</xdr:rowOff>
    </xdr:from>
    <xdr:to>
      <xdr:col>10</xdr:col>
      <xdr:colOff>120676</xdr:colOff>
      <xdr:row>14</xdr:row>
      <xdr:rowOff>189756</xdr:rowOff>
    </xdr:to>
    <xdr:sp macro="" textlink="">
      <xdr:nvSpPr>
        <xdr:cNvPr id="93" name="Oval 92">
          <a:extLst>
            <a:ext uri="{FF2B5EF4-FFF2-40B4-BE49-F238E27FC236}">
              <a16:creationId xmlns:a16="http://schemas.microsoft.com/office/drawing/2014/main" id="{61583CF8-A79C-458F-A642-4F4C2A19D458}"/>
            </a:ext>
          </a:extLst>
        </xdr:cNvPr>
        <xdr:cNvSpPr/>
      </xdr:nvSpPr>
      <xdr:spPr>
        <a:xfrm>
          <a:off x="6108676" y="2642076"/>
          <a:ext cx="108000" cy="100380"/>
        </a:xfrm>
        <a:prstGeom prst="ellipse">
          <a:avLst/>
        </a:prstGeom>
        <a:solidFill>
          <a:srgbClr val="EBD21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94736</xdr:colOff>
      <xdr:row>15</xdr:row>
      <xdr:rowOff>23292</xdr:rowOff>
    </xdr:from>
    <xdr:ext cx="913971" cy="248851"/>
    <xdr:sp macro="" textlink="">
      <xdr:nvSpPr>
        <xdr:cNvPr id="94" name="TextBox 93">
          <a:extLst>
            <a:ext uri="{FF2B5EF4-FFF2-40B4-BE49-F238E27FC236}">
              <a16:creationId xmlns:a16="http://schemas.microsoft.com/office/drawing/2014/main" id="{5C03E049-AA66-4B69-8820-6F27284107A2}"/>
            </a:ext>
          </a:extLst>
        </xdr:cNvPr>
        <xdr:cNvSpPr txBox="1"/>
      </xdr:nvSpPr>
      <xdr:spPr>
        <a:xfrm>
          <a:off x="6190736" y="2766492"/>
          <a:ext cx="91397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HR Specialist</a:t>
          </a:r>
        </a:p>
      </xdr:txBody>
    </xdr:sp>
    <xdr:clientData/>
  </xdr:oneCellAnchor>
  <xdr:twoCellAnchor>
    <xdr:from>
      <xdr:col>10</xdr:col>
      <xdr:colOff>12675</xdr:colOff>
      <xdr:row>15</xdr:row>
      <xdr:rowOff>99340</xdr:rowOff>
    </xdr:from>
    <xdr:to>
      <xdr:col>10</xdr:col>
      <xdr:colOff>120675</xdr:colOff>
      <xdr:row>15</xdr:row>
      <xdr:rowOff>207340</xdr:rowOff>
    </xdr:to>
    <xdr:sp macro="" textlink="">
      <xdr:nvSpPr>
        <xdr:cNvPr id="95" name="Oval 94">
          <a:extLst>
            <a:ext uri="{FF2B5EF4-FFF2-40B4-BE49-F238E27FC236}">
              <a16:creationId xmlns:a16="http://schemas.microsoft.com/office/drawing/2014/main" id="{D5156AA7-D65C-41F7-8BBA-0A2B53EE0A32}"/>
            </a:ext>
          </a:extLst>
        </xdr:cNvPr>
        <xdr:cNvSpPr/>
      </xdr:nvSpPr>
      <xdr:spPr>
        <a:xfrm>
          <a:off x="6108675" y="2842540"/>
          <a:ext cx="108000" cy="8514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224693</xdr:colOff>
      <xdr:row>14</xdr:row>
      <xdr:rowOff>6281</xdr:rowOff>
    </xdr:from>
    <xdr:ext cx="662353" cy="248851"/>
    <xdr:sp macro="" textlink="">
      <xdr:nvSpPr>
        <xdr:cNvPr id="96" name="TextBox 95">
          <a:extLst>
            <a:ext uri="{FF2B5EF4-FFF2-40B4-BE49-F238E27FC236}">
              <a16:creationId xmlns:a16="http://schemas.microsoft.com/office/drawing/2014/main" id="{9DF36481-7990-4097-98AD-818BF3582DEC}"/>
            </a:ext>
          </a:extLst>
        </xdr:cNvPr>
        <xdr:cNvSpPr txBox="1"/>
      </xdr:nvSpPr>
      <xdr:spPr>
        <a:xfrm>
          <a:off x="6930293" y="2566601"/>
          <a:ext cx="66235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aseline="0">
              <a:solidFill>
                <a:schemeClr val="bg1"/>
              </a:solidFill>
            </a:rPr>
            <a:t>Designer</a:t>
          </a:r>
        </a:p>
      </xdr:txBody>
    </xdr:sp>
    <xdr:clientData/>
  </xdr:oneCellAnchor>
  <xdr:twoCellAnchor>
    <xdr:from>
      <xdr:col>11</xdr:col>
      <xdr:colOff>142631</xdr:colOff>
      <xdr:row>14</xdr:row>
      <xdr:rowOff>82329</xdr:rowOff>
    </xdr:from>
    <xdr:to>
      <xdr:col>11</xdr:col>
      <xdr:colOff>250631</xdr:colOff>
      <xdr:row>14</xdr:row>
      <xdr:rowOff>190329</xdr:rowOff>
    </xdr:to>
    <xdr:sp macro="" textlink="">
      <xdr:nvSpPr>
        <xdr:cNvPr id="97" name="Oval 96">
          <a:extLst>
            <a:ext uri="{FF2B5EF4-FFF2-40B4-BE49-F238E27FC236}">
              <a16:creationId xmlns:a16="http://schemas.microsoft.com/office/drawing/2014/main" id="{7DD10273-BB5F-4FFB-B3FF-E83CECA38B11}"/>
            </a:ext>
          </a:extLst>
        </xdr:cNvPr>
        <xdr:cNvSpPr/>
      </xdr:nvSpPr>
      <xdr:spPr>
        <a:xfrm>
          <a:off x="6848231" y="2642649"/>
          <a:ext cx="108000" cy="100380"/>
        </a:xfrm>
        <a:prstGeom prst="ellipse">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428324</xdr:colOff>
      <xdr:row>5</xdr:row>
      <xdr:rowOff>133550</xdr:rowOff>
    </xdr:from>
    <xdr:ext cx="1304110" cy="280205"/>
    <xdr:sp macro="" textlink="">
      <xdr:nvSpPr>
        <xdr:cNvPr id="98" name="TextBox 97">
          <a:extLst>
            <a:ext uri="{FF2B5EF4-FFF2-40B4-BE49-F238E27FC236}">
              <a16:creationId xmlns:a16="http://schemas.microsoft.com/office/drawing/2014/main" id="{4E47A7B4-4FF4-4364-8FAE-7066F1EA96E6}"/>
            </a:ext>
          </a:extLst>
        </xdr:cNvPr>
        <xdr:cNvSpPr txBox="1"/>
      </xdr:nvSpPr>
      <xdr:spPr>
        <a:xfrm>
          <a:off x="5305124" y="1047950"/>
          <a:ext cx="13041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Leave Tracking</a:t>
          </a:r>
        </a:p>
      </xdr:txBody>
    </xdr:sp>
    <xdr:clientData/>
  </xdr:oneCellAnchor>
  <xdr:oneCellAnchor>
    <xdr:from>
      <xdr:col>8</xdr:col>
      <xdr:colOff>432677</xdr:colOff>
      <xdr:row>6</xdr:row>
      <xdr:rowOff>133550</xdr:rowOff>
    </xdr:from>
    <xdr:ext cx="1465217" cy="211725"/>
    <xdr:sp macro="" textlink="">
      <xdr:nvSpPr>
        <xdr:cNvPr id="99" name="TextBox 98">
          <a:extLst>
            <a:ext uri="{FF2B5EF4-FFF2-40B4-BE49-F238E27FC236}">
              <a16:creationId xmlns:a16="http://schemas.microsoft.com/office/drawing/2014/main" id="{1A988D04-C488-45D5-92C2-F585826E0620}"/>
            </a:ext>
          </a:extLst>
        </xdr:cNvPr>
        <xdr:cNvSpPr txBox="1"/>
      </xdr:nvSpPr>
      <xdr:spPr>
        <a:xfrm>
          <a:off x="5309477" y="1230830"/>
          <a:ext cx="1465217" cy="2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Leaves Taken by Job Title</a:t>
          </a:r>
        </a:p>
      </xdr:txBody>
    </xdr:sp>
    <xdr:clientData/>
  </xdr:oneCellAnchor>
  <xdr:twoCellAnchor>
    <xdr:from>
      <xdr:col>13</xdr:col>
      <xdr:colOff>111369</xdr:colOff>
      <xdr:row>9</xdr:row>
      <xdr:rowOff>134816</xdr:rowOff>
    </xdr:from>
    <xdr:to>
      <xdr:col>16</xdr:col>
      <xdr:colOff>427892</xdr:colOff>
      <xdr:row>15</xdr:row>
      <xdr:rowOff>187569</xdr:rowOff>
    </xdr:to>
    <xdr:graphicFrame macro="">
      <xdr:nvGraphicFramePr>
        <xdr:cNvPr id="100" name="Chart 99">
          <a:extLst>
            <a:ext uri="{FF2B5EF4-FFF2-40B4-BE49-F238E27FC236}">
              <a16:creationId xmlns:a16="http://schemas.microsoft.com/office/drawing/2014/main" id="{59FC8B62-76E4-4AF9-AD69-23660720D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13</xdr:col>
      <xdr:colOff>185530</xdr:colOff>
      <xdr:row>8</xdr:row>
      <xdr:rowOff>8545</xdr:rowOff>
    </xdr:from>
    <xdr:ext cx="1304110" cy="280205"/>
    <xdr:sp macro="" textlink="">
      <xdr:nvSpPr>
        <xdr:cNvPr id="101" name="TextBox 100">
          <a:extLst>
            <a:ext uri="{FF2B5EF4-FFF2-40B4-BE49-F238E27FC236}">
              <a16:creationId xmlns:a16="http://schemas.microsoft.com/office/drawing/2014/main" id="{6C31AEEB-0DE9-4BA9-BBB2-F0816ECC043A}"/>
            </a:ext>
          </a:extLst>
        </xdr:cNvPr>
        <xdr:cNvSpPr txBox="1"/>
      </xdr:nvSpPr>
      <xdr:spPr>
        <a:xfrm>
          <a:off x="8110330" y="1471585"/>
          <a:ext cx="13041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Regions</a:t>
          </a:r>
        </a:p>
      </xdr:txBody>
    </xdr:sp>
    <xdr:clientData/>
  </xdr:oneCellAnchor>
  <xdr:oneCellAnchor>
    <xdr:from>
      <xdr:col>13</xdr:col>
      <xdr:colOff>189883</xdr:colOff>
      <xdr:row>9</xdr:row>
      <xdr:rowOff>8545</xdr:rowOff>
    </xdr:from>
    <xdr:ext cx="1465217" cy="211725"/>
    <xdr:sp macro="" textlink="">
      <xdr:nvSpPr>
        <xdr:cNvPr id="102" name="TextBox 101">
          <a:extLst>
            <a:ext uri="{FF2B5EF4-FFF2-40B4-BE49-F238E27FC236}">
              <a16:creationId xmlns:a16="http://schemas.microsoft.com/office/drawing/2014/main" id="{2431CB4B-9AE2-426E-A406-5375DF44E3CA}"/>
            </a:ext>
          </a:extLst>
        </xdr:cNvPr>
        <xdr:cNvSpPr txBox="1"/>
      </xdr:nvSpPr>
      <xdr:spPr>
        <a:xfrm>
          <a:off x="8114683" y="1654465"/>
          <a:ext cx="1465217" cy="2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Employees per region</a:t>
          </a:r>
        </a:p>
      </xdr:txBody>
    </xdr:sp>
    <xdr:clientData/>
  </xdr:oneCellAnchor>
  <xdr:oneCellAnchor>
    <xdr:from>
      <xdr:col>13</xdr:col>
      <xdr:colOff>243697</xdr:colOff>
      <xdr:row>2</xdr:row>
      <xdr:rowOff>206188</xdr:rowOff>
    </xdr:from>
    <xdr:ext cx="1304110" cy="655949"/>
    <xdr:sp macro="" textlink="'Pivot tables'!Z18">
      <xdr:nvSpPr>
        <xdr:cNvPr id="103" name="TextBox 102">
          <a:extLst>
            <a:ext uri="{FF2B5EF4-FFF2-40B4-BE49-F238E27FC236}">
              <a16:creationId xmlns:a16="http://schemas.microsoft.com/office/drawing/2014/main" id="{D718E641-FB30-4B22-BA55-49403D8E37A6}"/>
            </a:ext>
          </a:extLst>
        </xdr:cNvPr>
        <xdr:cNvSpPr txBox="1"/>
      </xdr:nvSpPr>
      <xdr:spPr>
        <a:xfrm>
          <a:off x="8168497" y="549088"/>
          <a:ext cx="130411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C44F877-0869-438B-A880-07C8D4C9116C}" type="TxLink">
            <a:rPr lang="en-US" sz="3600" b="1" i="0" u="none" strike="noStrike" baseline="0">
              <a:solidFill>
                <a:schemeClr val="bg1"/>
              </a:solidFill>
              <a:latin typeface="Aptos Black" panose="020F0502020204030204" pitchFamily="34" charset="0"/>
              <a:cs typeface="Segoe UI Semilight"/>
            </a:rPr>
            <a:pPr/>
            <a:t>2.6</a:t>
          </a:fld>
          <a:endParaRPr lang="en-IN" sz="8000" b="1" baseline="0">
            <a:solidFill>
              <a:schemeClr val="bg1"/>
            </a:solidFill>
            <a:latin typeface="Aptos Black" panose="020F0502020204030204" pitchFamily="34" charset="0"/>
          </a:endParaRPr>
        </a:p>
      </xdr:txBody>
    </xdr:sp>
    <xdr:clientData/>
  </xdr:oneCellAnchor>
  <xdr:oneCellAnchor>
    <xdr:from>
      <xdr:col>13</xdr:col>
      <xdr:colOff>188258</xdr:colOff>
      <xdr:row>5</xdr:row>
      <xdr:rowOff>98141</xdr:rowOff>
    </xdr:from>
    <xdr:ext cx="1304110" cy="264560"/>
    <xdr:sp macro="" textlink="">
      <xdr:nvSpPr>
        <xdr:cNvPr id="104" name="TextBox 103">
          <a:extLst>
            <a:ext uri="{FF2B5EF4-FFF2-40B4-BE49-F238E27FC236}">
              <a16:creationId xmlns:a16="http://schemas.microsoft.com/office/drawing/2014/main" id="{AB3AEBAC-D922-4A30-BC41-014CC0CEBDF3}"/>
            </a:ext>
          </a:extLst>
        </xdr:cNvPr>
        <xdr:cNvSpPr txBox="1"/>
      </xdr:nvSpPr>
      <xdr:spPr>
        <a:xfrm>
          <a:off x="8113058" y="1012541"/>
          <a:ext cx="1304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baseline="0">
              <a:solidFill>
                <a:schemeClr val="bg1"/>
              </a:solidFill>
            </a:rPr>
            <a:t>Average Rating</a:t>
          </a:r>
        </a:p>
      </xdr:txBody>
    </xdr:sp>
    <xdr:clientData/>
  </xdr:oneCellAnchor>
  <xdr:oneCellAnchor>
    <xdr:from>
      <xdr:col>15</xdr:col>
      <xdr:colOff>257576</xdr:colOff>
      <xdr:row>2</xdr:row>
      <xdr:rowOff>107577</xdr:rowOff>
    </xdr:from>
    <xdr:ext cx="753036" cy="763281"/>
    <xdr:pic>
      <xdr:nvPicPr>
        <xdr:cNvPr id="105" name="Graphic 104" descr="Bar graph with upward trend with solid fill">
          <a:extLst>
            <a:ext uri="{FF2B5EF4-FFF2-40B4-BE49-F238E27FC236}">
              <a16:creationId xmlns:a16="http://schemas.microsoft.com/office/drawing/2014/main" id="{A0FC4649-FE8B-4843-9D0F-0B706C2952C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01576" y="473337"/>
          <a:ext cx="753036" cy="763281"/>
        </a:xfrm>
        <a:prstGeom prst="rect">
          <a:avLst/>
        </a:prstGeom>
      </xdr:spPr>
    </xdr:pic>
    <xdr:clientData/>
  </xdr:oneCellAnchor>
  <xdr:oneCellAnchor>
    <xdr:from>
      <xdr:col>13</xdr:col>
      <xdr:colOff>168379</xdr:colOff>
      <xdr:row>1</xdr:row>
      <xdr:rowOff>15591</xdr:rowOff>
    </xdr:from>
    <xdr:ext cx="1559860" cy="280205"/>
    <xdr:sp macro="" textlink="">
      <xdr:nvSpPr>
        <xdr:cNvPr id="106" name="TextBox 105">
          <a:extLst>
            <a:ext uri="{FF2B5EF4-FFF2-40B4-BE49-F238E27FC236}">
              <a16:creationId xmlns:a16="http://schemas.microsoft.com/office/drawing/2014/main" id="{A34B4540-7F9B-42F4-A39A-3D663DBDFF20}"/>
            </a:ext>
          </a:extLst>
        </xdr:cNvPr>
        <xdr:cNvSpPr txBox="1"/>
      </xdr:nvSpPr>
      <xdr:spPr>
        <a:xfrm>
          <a:off x="8093179" y="198471"/>
          <a:ext cx="15598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rgbClr val="E5B244"/>
              </a:solidFill>
            </a:rPr>
            <a:t>Performance Rating</a:t>
          </a:r>
        </a:p>
      </xdr:txBody>
    </xdr:sp>
    <xdr:clientData/>
  </xdr:oneCellAnchor>
  <xdr:oneCellAnchor>
    <xdr:from>
      <xdr:col>13</xdr:col>
      <xdr:colOff>172732</xdr:colOff>
      <xdr:row>2</xdr:row>
      <xdr:rowOff>15591</xdr:rowOff>
    </xdr:from>
    <xdr:ext cx="1465217" cy="211725"/>
    <xdr:sp macro="" textlink="">
      <xdr:nvSpPr>
        <xdr:cNvPr id="107" name="TextBox 106">
          <a:extLst>
            <a:ext uri="{FF2B5EF4-FFF2-40B4-BE49-F238E27FC236}">
              <a16:creationId xmlns:a16="http://schemas.microsoft.com/office/drawing/2014/main" id="{0100F22A-EB3C-4E00-B06C-21025B04D8B2}"/>
            </a:ext>
          </a:extLst>
        </xdr:cNvPr>
        <xdr:cNvSpPr txBox="1"/>
      </xdr:nvSpPr>
      <xdr:spPr>
        <a:xfrm>
          <a:off x="8097532" y="381351"/>
          <a:ext cx="1465217" cy="2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Average Performnance Rating</a:t>
          </a:r>
        </a:p>
      </xdr:txBody>
    </xdr:sp>
    <xdr:clientData/>
  </xdr:oneCellAnchor>
  <xdr:twoCellAnchor>
    <xdr:from>
      <xdr:col>0</xdr:col>
      <xdr:colOff>340206</xdr:colOff>
      <xdr:row>11</xdr:row>
      <xdr:rowOff>194437</xdr:rowOff>
    </xdr:from>
    <xdr:to>
      <xdr:col>0</xdr:col>
      <xdr:colOff>430206</xdr:colOff>
      <xdr:row>12</xdr:row>
      <xdr:rowOff>71879</xdr:rowOff>
    </xdr:to>
    <xdr:sp macro="" textlink="">
      <xdr:nvSpPr>
        <xdr:cNvPr id="108" name="Oval 107">
          <a:extLst>
            <a:ext uri="{FF2B5EF4-FFF2-40B4-BE49-F238E27FC236}">
              <a16:creationId xmlns:a16="http://schemas.microsoft.com/office/drawing/2014/main" id="{33078C22-726B-483A-9478-B5EBA3F0940D}"/>
            </a:ext>
          </a:extLst>
        </xdr:cNvPr>
        <xdr:cNvSpPr/>
      </xdr:nvSpPr>
      <xdr:spPr>
        <a:xfrm>
          <a:off x="340206" y="2190877"/>
          <a:ext cx="90000" cy="7556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340206</xdr:colOff>
      <xdr:row>13</xdr:row>
      <xdr:rowOff>84463</xdr:rowOff>
    </xdr:from>
    <xdr:to>
      <xdr:col>0</xdr:col>
      <xdr:colOff>430206</xdr:colOff>
      <xdr:row>13</xdr:row>
      <xdr:rowOff>174463</xdr:rowOff>
    </xdr:to>
    <xdr:sp macro="" textlink="">
      <xdr:nvSpPr>
        <xdr:cNvPr id="109" name="Oval 108">
          <a:extLst>
            <a:ext uri="{FF2B5EF4-FFF2-40B4-BE49-F238E27FC236}">
              <a16:creationId xmlns:a16="http://schemas.microsoft.com/office/drawing/2014/main" id="{47E78B48-FD4B-4A0E-A54E-04547E348278}"/>
            </a:ext>
          </a:extLst>
        </xdr:cNvPr>
        <xdr:cNvSpPr/>
      </xdr:nvSpPr>
      <xdr:spPr>
        <a:xfrm>
          <a:off x="340206" y="2461903"/>
          <a:ext cx="90000" cy="90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340206</xdr:colOff>
      <xdr:row>14</xdr:row>
      <xdr:rowOff>187047</xdr:rowOff>
    </xdr:from>
    <xdr:to>
      <xdr:col>0</xdr:col>
      <xdr:colOff>430206</xdr:colOff>
      <xdr:row>15</xdr:row>
      <xdr:rowOff>64490</xdr:rowOff>
    </xdr:to>
    <xdr:sp macro="" textlink="">
      <xdr:nvSpPr>
        <xdr:cNvPr id="110" name="Oval 109">
          <a:extLst>
            <a:ext uri="{FF2B5EF4-FFF2-40B4-BE49-F238E27FC236}">
              <a16:creationId xmlns:a16="http://schemas.microsoft.com/office/drawing/2014/main" id="{97E409F8-9C27-41A4-9F1B-3D8F3296815D}"/>
            </a:ext>
          </a:extLst>
        </xdr:cNvPr>
        <xdr:cNvSpPr/>
      </xdr:nvSpPr>
      <xdr:spPr>
        <a:xfrm>
          <a:off x="340206" y="2739747"/>
          <a:ext cx="90000" cy="6794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340206</xdr:colOff>
      <xdr:row>16</xdr:row>
      <xdr:rowOff>77074</xdr:rowOff>
    </xdr:from>
    <xdr:to>
      <xdr:col>0</xdr:col>
      <xdr:colOff>430206</xdr:colOff>
      <xdr:row>16</xdr:row>
      <xdr:rowOff>167074</xdr:rowOff>
    </xdr:to>
    <xdr:sp macro="" textlink="">
      <xdr:nvSpPr>
        <xdr:cNvPr id="111" name="Oval 110">
          <a:extLst>
            <a:ext uri="{FF2B5EF4-FFF2-40B4-BE49-F238E27FC236}">
              <a16:creationId xmlns:a16="http://schemas.microsoft.com/office/drawing/2014/main" id="{78AF47F2-0892-45CE-B779-6B2480F55FF6}"/>
            </a:ext>
          </a:extLst>
        </xdr:cNvPr>
        <xdr:cNvSpPr/>
      </xdr:nvSpPr>
      <xdr:spPr>
        <a:xfrm>
          <a:off x="340206" y="3003154"/>
          <a:ext cx="90000" cy="90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331670</xdr:colOff>
      <xdr:row>17</xdr:row>
      <xdr:rowOff>179657</xdr:rowOff>
    </xdr:from>
    <xdr:to>
      <xdr:col>0</xdr:col>
      <xdr:colOff>421670</xdr:colOff>
      <xdr:row>18</xdr:row>
      <xdr:rowOff>57099</xdr:rowOff>
    </xdr:to>
    <xdr:sp macro="" textlink="">
      <xdr:nvSpPr>
        <xdr:cNvPr id="112" name="Oval 111">
          <a:extLst>
            <a:ext uri="{FF2B5EF4-FFF2-40B4-BE49-F238E27FC236}">
              <a16:creationId xmlns:a16="http://schemas.microsoft.com/office/drawing/2014/main" id="{422453A6-A25D-4951-9869-D6AB5C914CD5}"/>
            </a:ext>
          </a:extLst>
        </xdr:cNvPr>
        <xdr:cNvSpPr/>
      </xdr:nvSpPr>
      <xdr:spPr>
        <a:xfrm>
          <a:off x="331670" y="3288617"/>
          <a:ext cx="90000" cy="6032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407870</xdr:colOff>
      <xdr:row>20</xdr:row>
      <xdr:rowOff>112294</xdr:rowOff>
    </xdr:from>
    <xdr:to>
      <xdr:col>0</xdr:col>
      <xdr:colOff>497870</xdr:colOff>
      <xdr:row>20</xdr:row>
      <xdr:rowOff>202294</xdr:rowOff>
    </xdr:to>
    <xdr:sp macro="" textlink="">
      <xdr:nvSpPr>
        <xdr:cNvPr id="113" name="Oval 112">
          <a:extLst>
            <a:ext uri="{FF2B5EF4-FFF2-40B4-BE49-F238E27FC236}">
              <a16:creationId xmlns:a16="http://schemas.microsoft.com/office/drawing/2014/main" id="{DBF6CB76-B466-4B6F-BDE3-FA3547298676}"/>
            </a:ext>
          </a:extLst>
        </xdr:cNvPr>
        <xdr:cNvSpPr/>
      </xdr:nvSpPr>
      <xdr:spPr>
        <a:xfrm>
          <a:off x="407870" y="3769894"/>
          <a:ext cx="90000" cy="6714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104504</xdr:colOff>
      <xdr:row>18</xdr:row>
      <xdr:rowOff>15331</xdr:rowOff>
    </xdr:from>
    <xdr:to>
      <xdr:col>4</xdr:col>
      <xdr:colOff>194504</xdr:colOff>
      <xdr:row>18</xdr:row>
      <xdr:rowOff>105331</xdr:rowOff>
    </xdr:to>
    <xdr:sp macro="" textlink="">
      <xdr:nvSpPr>
        <xdr:cNvPr id="114" name="Oval 113">
          <a:extLst>
            <a:ext uri="{FF2B5EF4-FFF2-40B4-BE49-F238E27FC236}">
              <a16:creationId xmlns:a16="http://schemas.microsoft.com/office/drawing/2014/main" id="{5B93B927-05F9-4D5F-8AD4-E7E2ED148381}"/>
            </a:ext>
          </a:extLst>
        </xdr:cNvPr>
        <xdr:cNvSpPr/>
      </xdr:nvSpPr>
      <xdr:spPr>
        <a:xfrm>
          <a:off x="2542904" y="3307171"/>
          <a:ext cx="90000" cy="90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70986</xdr:colOff>
      <xdr:row>6</xdr:row>
      <xdr:rowOff>10943</xdr:rowOff>
    </xdr:from>
    <xdr:to>
      <xdr:col>4</xdr:col>
      <xdr:colOff>160986</xdr:colOff>
      <xdr:row>6</xdr:row>
      <xdr:rowOff>100943</xdr:rowOff>
    </xdr:to>
    <xdr:sp macro="" textlink="">
      <xdr:nvSpPr>
        <xdr:cNvPr id="115" name="Oval 114">
          <a:extLst>
            <a:ext uri="{FF2B5EF4-FFF2-40B4-BE49-F238E27FC236}">
              <a16:creationId xmlns:a16="http://schemas.microsoft.com/office/drawing/2014/main" id="{47687F42-A6A2-47D2-847C-05D7935E867C}"/>
            </a:ext>
          </a:extLst>
        </xdr:cNvPr>
        <xdr:cNvSpPr/>
      </xdr:nvSpPr>
      <xdr:spPr>
        <a:xfrm>
          <a:off x="2509386" y="1108223"/>
          <a:ext cx="90000" cy="90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385603</xdr:colOff>
      <xdr:row>6</xdr:row>
      <xdr:rowOff>19393</xdr:rowOff>
    </xdr:from>
    <xdr:to>
      <xdr:col>8</xdr:col>
      <xdr:colOff>475603</xdr:colOff>
      <xdr:row>6</xdr:row>
      <xdr:rowOff>109393</xdr:rowOff>
    </xdr:to>
    <xdr:sp macro="" textlink="">
      <xdr:nvSpPr>
        <xdr:cNvPr id="116" name="Oval 115">
          <a:extLst>
            <a:ext uri="{FF2B5EF4-FFF2-40B4-BE49-F238E27FC236}">
              <a16:creationId xmlns:a16="http://schemas.microsoft.com/office/drawing/2014/main" id="{46C3B23C-8E8E-4F51-BE61-719B2290CA35}"/>
            </a:ext>
          </a:extLst>
        </xdr:cNvPr>
        <xdr:cNvSpPr/>
      </xdr:nvSpPr>
      <xdr:spPr>
        <a:xfrm>
          <a:off x="5262403" y="1116673"/>
          <a:ext cx="90000" cy="90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436345</xdr:colOff>
      <xdr:row>18</xdr:row>
      <xdr:rowOff>22550</xdr:rowOff>
    </xdr:from>
    <xdr:to>
      <xdr:col>8</xdr:col>
      <xdr:colOff>526345</xdr:colOff>
      <xdr:row>18</xdr:row>
      <xdr:rowOff>112550</xdr:rowOff>
    </xdr:to>
    <xdr:sp macro="" textlink="">
      <xdr:nvSpPr>
        <xdr:cNvPr id="117" name="Oval 116">
          <a:extLst>
            <a:ext uri="{FF2B5EF4-FFF2-40B4-BE49-F238E27FC236}">
              <a16:creationId xmlns:a16="http://schemas.microsoft.com/office/drawing/2014/main" id="{480FE1FD-A47A-4F8E-BD71-E7C44646C424}"/>
            </a:ext>
          </a:extLst>
        </xdr:cNvPr>
        <xdr:cNvSpPr/>
      </xdr:nvSpPr>
      <xdr:spPr>
        <a:xfrm>
          <a:off x="5313145" y="3314390"/>
          <a:ext cx="90000" cy="90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13203</xdr:colOff>
      <xdr:row>16</xdr:row>
      <xdr:rowOff>178128</xdr:rowOff>
    </xdr:from>
    <xdr:to>
      <xdr:col>13</xdr:col>
      <xdr:colOff>103203</xdr:colOff>
      <xdr:row>17</xdr:row>
      <xdr:rowOff>56094</xdr:rowOff>
    </xdr:to>
    <xdr:sp macro="" textlink="">
      <xdr:nvSpPr>
        <xdr:cNvPr id="118" name="Oval 117">
          <a:extLst>
            <a:ext uri="{FF2B5EF4-FFF2-40B4-BE49-F238E27FC236}">
              <a16:creationId xmlns:a16="http://schemas.microsoft.com/office/drawing/2014/main" id="{EFE0EFEE-FA16-4030-9684-1FE4D54E4F64}"/>
            </a:ext>
          </a:extLst>
        </xdr:cNvPr>
        <xdr:cNvSpPr/>
      </xdr:nvSpPr>
      <xdr:spPr>
        <a:xfrm>
          <a:off x="7938003" y="3104208"/>
          <a:ext cx="90000" cy="6084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106017</xdr:colOff>
      <xdr:row>8</xdr:row>
      <xdr:rowOff>106407</xdr:rowOff>
    </xdr:from>
    <xdr:to>
      <xdr:col>13</xdr:col>
      <xdr:colOff>196017</xdr:colOff>
      <xdr:row>8</xdr:row>
      <xdr:rowOff>196407</xdr:rowOff>
    </xdr:to>
    <xdr:sp macro="" textlink="">
      <xdr:nvSpPr>
        <xdr:cNvPr id="119" name="Oval 118">
          <a:extLst>
            <a:ext uri="{FF2B5EF4-FFF2-40B4-BE49-F238E27FC236}">
              <a16:creationId xmlns:a16="http://schemas.microsoft.com/office/drawing/2014/main" id="{6CD8ECE5-45A5-4482-BD8F-0D038C3117E4}"/>
            </a:ext>
          </a:extLst>
        </xdr:cNvPr>
        <xdr:cNvSpPr/>
      </xdr:nvSpPr>
      <xdr:spPr>
        <a:xfrm>
          <a:off x="8030817" y="1569447"/>
          <a:ext cx="90000" cy="7476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128623</xdr:colOff>
      <xdr:row>1</xdr:row>
      <xdr:rowOff>104848</xdr:rowOff>
    </xdr:from>
    <xdr:to>
      <xdr:col>13</xdr:col>
      <xdr:colOff>218623</xdr:colOff>
      <xdr:row>1</xdr:row>
      <xdr:rowOff>194848</xdr:rowOff>
    </xdr:to>
    <xdr:sp macro="" textlink="">
      <xdr:nvSpPr>
        <xdr:cNvPr id="120" name="Oval 119">
          <a:extLst>
            <a:ext uri="{FF2B5EF4-FFF2-40B4-BE49-F238E27FC236}">
              <a16:creationId xmlns:a16="http://schemas.microsoft.com/office/drawing/2014/main" id="{0E3DBEE7-401B-4E57-A4F8-0D4169020B2E}"/>
            </a:ext>
          </a:extLst>
        </xdr:cNvPr>
        <xdr:cNvSpPr/>
      </xdr:nvSpPr>
      <xdr:spPr>
        <a:xfrm>
          <a:off x="8053423" y="287728"/>
          <a:ext cx="90000" cy="7476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222864</xdr:colOff>
      <xdr:row>8</xdr:row>
      <xdr:rowOff>152400</xdr:rowOff>
    </xdr:from>
    <xdr:ext cx="969832" cy="530658"/>
    <xdr:sp macro="" textlink="">
      <xdr:nvSpPr>
        <xdr:cNvPr id="121" name="TextBox 120">
          <a:extLst>
            <a:ext uri="{FF2B5EF4-FFF2-40B4-BE49-F238E27FC236}">
              <a16:creationId xmlns:a16="http://schemas.microsoft.com/office/drawing/2014/main" id="{76687BB4-9E01-4734-9C9F-412AFA2E43E4}"/>
            </a:ext>
          </a:extLst>
        </xdr:cNvPr>
        <xdr:cNvSpPr txBox="1"/>
      </xdr:nvSpPr>
      <xdr:spPr>
        <a:xfrm>
          <a:off x="222864" y="1615440"/>
          <a:ext cx="96983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0" baseline="0">
              <a:solidFill>
                <a:schemeClr val="bg1"/>
              </a:solidFill>
            </a:rPr>
            <a:t>|</a:t>
          </a:r>
        </a:p>
      </xdr:txBody>
    </xdr:sp>
    <xdr:clientData/>
  </xdr:oneCellAnchor>
  <xdr:oneCellAnchor>
    <xdr:from>
      <xdr:col>2</xdr:col>
      <xdr:colOff>18129</xdr:colOff>
      <xdr:row>0</xdr:row>
      <xdr:rowOff>129471</xdr:rowOff>
    </xdr:from>
    <xdr:ext cx="1412085" cy="624595"/>
    <xdr:sp macro="" textlink="">
      <xdr:nvSpPr>
        <xdr:cNvPr id="122" name="TextBox 121">
          <a:extLst>
            <a:ext uri="{FF2B5EF4-FFF2-40B4-BE49-F238E27FC236}">
              <a16:creationId xmlns:a16="http://schemas.microsoft.com/office/drawing/2014/main" id="{CFE87906-7E7B-4205-8C23-0A16B8B593B8}"/>
            </a:ext>
          </a:extLst>
        </xdr:cNvPr>
        <xdr:cNvSpPr txBox="1"/>
      </xdr:nvSpPr>
      <xdr:spPr>
        <a:xfrm>
          <a:off x="1237329" y="129471"/>
          <a:ext cx="1412085"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baseline="0">
              <a:solidFill>
                <a:srgbClr val="E5B244"/>
              </a:solidFill>
            </a:rPr>
            <a:t>HR</a:t>
          </a:r>
        </a:p>
        <a:p>
          <a:r>
            <a:rPr lang="en-IN" sz="1400" b="1" baseline="0">
              <a:solidFill>
                <a:srgbClr val="E5B244"/>
              </a:solidFill>
            </a:rPr>
            <a:t>Dashboard</a:t>
          </a:r>
          <a:endParaRPr lang="en-IN" sz="1200" b="1" baseline="0">
            <a:solidFill>
              <a:srgbClr val="E5B244"/>
            </a:solidFill>
          </a:endParaRPr>
        </a:p>
      </xdr:txBody>
    </xdr:sp>
    <xdr:clientData/>
  </xdr:oneCellAnchor>
  <xdr:oneCellAnchor>
    <xdr:from>
      <xdr:col>2</xdr:col>
      <xdr:colOff>34206</xdr:colOff>
      <xdr:row>3</xdr:row>
      <xdr:rowOff>47410</xdr:rowOff>
    </xdr:from>
    <xdr:ext cx="2075948" cy="211725"/>
    <xdr:sp macro="" textlink="">
      <xdr:nvSpPr>
        <xdr:cNvPr id="123" name="TextBox 122">
          <a:extLst>
            <a:ext uri="{FF2B5EF4-FFF2-40B4-BE49-F238E27FC236}">
              <a16:creationId xmlns:a16="http://schemas.microsoft.com/office/drawing/2014/main" id="{93C2F9E2-9FFC-438F-98B4-F7C2C97C54FE}"/>
            </a:ext>
          </a:extLst>
        </xdr:cNvPr>
        <xdr:cNvSpPr txBox="1"/>
      </xdr:nvSpPr>
      <xdr:spPr>
        <a:xfrm>
          <a:off x="1253406" y="596050"/>
          <a:ext cx="2075948" cy="2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baseline="0">
              <a:solidFill>
                <a:schemeClr val="bg2">
                  <a:lumMod val="75000"/>
                </a:schemeClr>
              </a:solidFill>
              <a:latin typeface="Segoe UI" panose="020B0502040204020203" pitchFamily="34" charset="0"/>
              <a:cs typeface="Segoe UI" panose="020B0502040204020203" pitchFamily="34" charset="0"/>
            </a:rPr>
            <a:t>Analyze and mponitor the HR Department</a:t>
          </a:r>
        </a:p>
      </xdr:txBody>
    </xdr:sp>
    <xdr:clientData/>
  </xdr:oneCellAnchor>
  <xdr:oneCellAnchor>
    <xdr:from>
      <xdr:col>0</xdr:col>
      <xdr:colOff>358934</xdr:colOff>
      <xdr:row>0</xdr:row>
      <xdr:rowOff>138593</xdr:rowOff>
    </xdr:from>
    <xdr:ext cx="914400" cy="936098"/>
    <xdr:pic>
      <xdr:nvPicPr>
        <xdr:cNvPr id="124" name="Graphic 123" descr="Meeting with solid fill">
          <a:extLst>
            <a:ext uri="{FF2B5EF4-FFF2-40B4-BE49-F238E27FC236}">
              <a16:creationId xmlns:a16="http://schemas.microsoft.com/office/drawing/2014/main" id="{2077B5E7-8AF4-45CD-A286-6494FD29561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58934" y="138593"/>
          <a:ext cx="914400" cy="936098"/>
        </a:xfrm>
        <a:prstGeom prst="rect">
          <a:avLst/>
        </a:prstGeom>
      </xdr:spPr>
    </xdr:pic>
    <xdr:clientData/>
  </xdr:oneCellAnchor>
  <xdr:oneCellAnchor>
    <xdr:from>
      <xdr:col>1</xdr:col>
      <xdr:colOff>141035</xdr:colOff>
      <xdr:row>5</xdr:row>
      <xdr:rowOff>105176</xdr:rowOff>
    </xdr:from>
    <xdr:ext cx="914400" cy="940238"/>
    <xdr:pic>
      <xdr:nvPicPr>
        <xdr:cNvPr id="125" name="Graphic 124" descr="Group brainstorm outline">
          <a:extLst>
            <a:ext uri="{FF2B5EF4-FFF2-40B4-BE49-F238E27FC236}">
              <a16:creationId xmlns:a16="http://schemas.microsoft.com/office/drawing/2014/main" id="{E22690DB-B739-4176-B9D2-F3FDFA8B553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50635" y="1019576"/>
          <a:ext cx="914400" cy="940238"/>
        </a:xfrm>
        <a:prstGeom prst="rect">
          <a:avLst/>
        </a:prstGeom>
      </xdr:spPr>
    </xdr:pic>
    <xdr:clientData/>
  </xdr:oneCellAnchor>
  <xdr:oneCellAnchor>
    <xdr:from>
      <xdr:col>5</xdr:col>
      <xdr:colOff>34358</xdr:colOff>
      <xdr:row>1</xdr:row>
      <xdr:rowOff>11636</xdr:rowOff>
    </xdr:from>
    <xdr:ext cx="1973117" cy="880242"/>
    <mc:AlternateContent xmlns:mc="http://schemas.openxmlformats.org/markup-compatibility/2006" xmlns:a14="http://schemas.microsoft.com/office/drawing/2010/main">
      <mc:Choice Requires="a14">
        <xdr:graphicFrame macro="">
          <xdr:nvGraphicFramePr>
            <xdr:cNvPr id="126" name="Gender">
              <a:extLst>
                <a:ext uri="{FF2B5EF4-FFF2-40B4-BE49-F238E27FC236}">
                  <a16:creationId xmlns:a16="http://schemas.microsoft.com/office/drawing/2014/main" id="{204A00BA-D8E1-463F-AFAE-0D7048B238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82358" y="229350"/>
              <a:ext cx="1973117" cy="880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337457</xdr:colOff>
      <xdr:row>0</xdr:row>
      <xdr:rowOff>97971</xdr:rowOff>
    </xdr:from>
    <xdr:ext cx="2645229" cy="1012371"/>
    <mc:AlternateContent xmlns:mc="http://schemas.openxmlformats.org/markup-compatibility/2006" xmlns:a14="http://schemas.microsoft.com/office/drawing/2010/main">
      <mc:Choice Requires="a14">
        <xdr:graphicFrame macro="">
          <xdr:nvGraphicFramePr>
            <xdr:cNvPr id="127" name="Department">
              <a:extLst>
                <a:ext uri="{FF2B5EF4-FFF2-40B4-BE49-F238E27FC236}">
                  <a16:creationId xmlns:a16="http://schemas.microsoft.com/office/drawing/2014/main" id="{65447CF5-87DE-45B3-835E-F9840B5B49A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214257" y="97971"/>
              <a:ext cx="2645229" cy="1012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337457</xdr:colOff>
      <xdr:row>0</xdr:row>
      <xdr:rowOff>97971</xdr:rowOff>
    </xdr:from>
    <xdr:ext cx="1559860" cy="280205"/>
    <xdr:sp macro="" textlink="">
      <xdr:nvSpPr>
        <xdr:cNvPr id="128" name="TextBox 127">
          <a:extLst>
            <a:ext uri="{FF2B5EF4-FFF2-40B4-BE49-F238E27FC236}">
              <a16:creationId xmlns:a16="http://schemas.microsoft.com/office/drawing/2014/main" id="{C8CFE508-4441-41AE-938D-E95A67641E9E}"/>
            </a:ext>
          </a:extLst>
        </xdr:cNvPr>
        <xdr:cNvSpPr txBox="1"/>
      </xdr:nvSpPr>
      <xdr:spPr>
        <a:xfrm>
          <a:off x="5214257" y="97971"/>
          <a:ext cx="15598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chemeClr val="bg1"/>
              </a:solidFill>
            </a:rPr>
            <a:t>Filter by Department</a:t>
          </a:r>
        </a:p>
      </xdr:txBody>
    </xdr:sp>
    <xdr:clientData/>
  </xdr:oneCellAnchor>
  <xdr:oneCellAnchor>
    <xdr:from>
      <xdr:col>5</xdr:col>
      <xdr:colOff>55378</xdr:colOff>
      <xdr:row>1</xdr:row>
      <xdr:rowOff>11637</xdr:rowOff>
    </xdr:from>
    <xdr:ext cx="1258415" cy="280205"/>
    <xdr:sp macro="" textlink="">
      <xdr:nvSpPr>
        <xdr:cNvPr id="129" name="TextBox 128">
          <a:extLst>
            <a:ext uri="{FF2B5EF4-FFF2-40B4-BE49-F238E27FC236}">
              <a16:creationId xmlns:a16="http://schemas.microsoft.com/office/drawing/2014/main" id="{B13AC7B4-E085-491D-A67F-6C93CDDE8869}"/>
            </a:ext>
          </a:extLst>
        </xdr:cNvPr>
        <xdr:cNvSpPr txBox="1"/>
      </xdr:nvSpPr>
      <xdr:spPr>
        <a:xfrm>
          <a:off x="3103378" y="194517"/>
          <a:ext cx="125841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chemeClr val="bg1"/>
              </a:solidFill>
            </a:rPr>
            <a:t>Filter by Gender</a:t>
          </a:r>
        </a:p>
      </xdr:txBody>
    </xdr:sp>
    <xdr:clientData/>
  </xdr:oneCellAnchor>
  <xdr:twoCellAnchor>
    <xdr:from>
      <xdr:col>5</xdr:col>
      <xdr:colOff>8083</xdr:colOff>
      <xdr:row>1</xdr:row>
      <xdr:rowOff>95719</xdr:rowOff>
    </xdr:from>
    <xdr:to>
      <xdr:col>5</xdr:col>
      <xdr:colOff>98083</xdr:colOff>
      <xdr:row>1</xdr:row>
      <xdr:rowOff>185719</xdr:rowOff>
    </xdr:to>
    <xdr:sp macro="" textlink="">
      <xdr:nvSpPr>
        <xdr:cNvPr id="130" name="Oval 129">
          <a:extLst>
            <a:ext uri="{FF2B5EF4-FFF2-40B4-BE49-F238E27FC236}">
              <a16:creationId xmlns:a16="http://schemas.microsoft.com/office/drawing/2014/main" id="{86621234-BDA4-49F9-8D18-7837078953C2}"/>
            </a:ext>
          </a:extLst>
        </xdr:cNvPr>
        <xdr:cNvSpPr/>
      </xdr:nvSpPr>
      <xdr:spPr>
        <a:xfrm>
          <a:off x="3056083" y="278599"/>
          <a:ext cx="90000" cy="9000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5B244"/>
            </a:solidFill>
          </a:endParaRPr>
        </a:p>
      </xdr:txBody>
    </xdr:sp>
    <xdr:clientData/>
  </xdr:twoCellAnchor>
  <xdr:twoCellAnchor>
    <xdr:from>
      <xdr:col>8</xdr:col>
      <xdr:colOff>281352</xdr:colOff>
      <xdr:row>0</xdr:row>
      <xdr:rowOff>195567</xdr:rowOff>
    </xdr:from>
    <xdr:to>
      <xdr:col>8</xdr:col>
      <xdr:colOff>371352</xdr:colOff>
      <xdr:row>1</xdr:row>
      <xdr:rowOff>70105</xdr:rowOff>
    </xdr:to>
    <xdr:sp macro="" textlink="">
      <xdr:nvSpPr>
        <xdr:cNvPr id="131" name="Oval 130">
          <a:extLst>
            <a:ext uri="{FF2B5EF4-FFF2-40B4-BE49-F238E27FC236}">
              <a16:creationId xmlns:a16="http://schemas.microsoft.com/office/drawing/2014/main" id="{0F2440D7-738C-485D-83A6-CAA2C940DC5B}"/>
            </a:ext>
          </a:extLst>
        </xdr:cNvPr>
        <xdr:cNvSpPr/>
      </xdr:nvSpPr>
      <xdr:spPr>
        <a:xfrm>
          <a:off x="5158152" y="180327"/>
          <a:ext cx="90000" cy="72658"/>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nitturl-my.sharepoint.com/personal/114122029_nitt_edu/Documents/HR%20ANALYTIC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 refreshedDate="45847.58456354167" createdVersion="8" refreshedVersion="8" minRefreshableVersion="3" recordCount="51" xr:uid="{443FCA07-6C85-4262-91CA-7BDB1EEBD2BE}">
  <cacheSource type="worksheet">
    <worksheetSource ref="A1:U1048576" sheet="Data" r:id="rId2"/>
  </cacheSource>
  <cacheFields count="21">
    <cacheField name="Employee ID" numFmtId="0">
      <sharedItems containsString="0" containsBlank="1" containsNumber="1" containsInteger="1" minValue="1550" maxValue="9968"/>
    </cacheField>
    <cacheField name="Full Name" numFmtId="0">
      <sharedItems containsBlank="1" count="50">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m/>
      </sharedItems>
    </cacheField>
    <cacheField name="Gender" numFmtId="0">
      <sharedItems containsBlank="1" count="3">
        <s v="Female"/>
        <s v="Male"/>
        <m/>
      </sharedItems>
    </cacheField>
    <cacheField name="Age" numFmtId="0">
      <sharedItems containsString="0" containsBlank="1" containsNumber="1" containsInteger="1" minValue="20" maxValue="60"/>
    </cacheField>
    <cacheField name="Age range" numFmtId="0">
      <sharedItems containsBlank="1" count="6">
        <s v="18-25"/>
        <s v="26-35"/>
        <s v="36-45"/>
        <s v="56 &lt;"/>
        <s v="46-55"/>
        <m/>
      </sharedItems>
    </cacheField>
    <cacheField name="Region" numFmtId="0">
      <sharedItems containsBlank="1" count="6">
        <s v="East"/>
        <s v="Central"/>
        <s v="West"/>
        <s v="South"/>
        <s v="North"/>
        <m/>
      </sharedItems>
    </cacheField>
    <cacheField name="Job Title" numFmtId="0">
      <sharedItems containsBlank="1" count="6">
        <s v="Manager"/>
        <s v="Designer"/>
        <s v="HR Specialist"/>
        <s v="Developer"/>
        <s v="Analyst"/>
        <m/>
      </sharedItems>
    </cacheField>
    <cacheField name="Department" numFmtId="0">
      <sharedItems containsBlank="1" count="6">
        <s v="Finance"/>
        <s v="HR"/>
        <s v="Marketing"/>
        <s v="Operations"/>
        <s v="IT"/>
        <m/>
      </sharedItems>
    </cacheField>
    <cacheField name="Manager/Supervisor" numFmtId="0">
      <sharedItems containsBlank="1"/>
    </cacheField>
    <cacheField name="Date of Hire" numFmtId="0">
      <sharedItems containsBlank="1"/>
    </cacheField>
    <cacheField name="Employment Status" numFmtId="0">
      <sharedItems containsBlank="1" count="4">
        <s v="Full-Time"/>
        <s v="Contract"/>
        <s v="Part-Time"/>
        <m/>
      </sharedItems>
    </cacheField>
    <cacheField name="Work Location" numFmtId="0">
      <sharedItems containsBlank="1" count="4">
        <s v="Head Office"/>
        <s v="Branch Office"/>
        <s v="Remote"/>
        <m/>
      </sharedItems>
    </cacheField>
    <cacheField name="Salary" numFmtId="0">
      <sharedItems containsString="0" containsBlank="1" containsNumber="1" containsInteger="1" minValue="30137" maxValue="98961"/>
    </cacheField>
    <cacheField name="Pay Grade" numFmtId="0">
      <sharedItems containsBlank="1"/>
    </cacheField>
    <cacheField name="Bonus/Allowances" numFmtId="0">
      <sharedItems containsString="0" containsBlank="1" containsNumber="1" containsInteger="1" minValue="1024" maxValue="9911"/>
    </cacheField>
    <cacheField name="Insurance Details" numFmtId="0">
      <sharedItems containsBlank="1"/>
    </cacheField>
    <cacheField name="Leave Taken" numFmtId="0">
      <sharedItems containsString="0" containsBlank="1" containsNumber="1" containsInteger="1" minValue="0" maxValue="20" count="19">
        <n v="1"/>
        <n v="19"/>
        <n v="8"/>
        <n v="0"/>
        <n v="16"/>
        <n v="7"/>
        <n v="4"/>
        <n v="10"/>
        <n v="20"/>
        <n v="2"/>
        <n v="13"/>
        <n v="11"/>
        <n v="18"/>
        <n v="17"/>
        <n v="9"/>
        <n v="14"/>
        <n v="5"/>
        <n v="15"/>
        <m/>
      </sharedItems>
    </cacheField>
    <cacheField name="Performance Rating" numFmtId="0">
      <sharedItems containsString="0" containsBlank="1" containsNumber="1" containsInteger="1" minValue="1" maxValue="5"/>
    </cacheField>
    <cacheField name="Training Programs Attended" numFmtId="0">
      <sharedItems containsBlank="1"/>
    </cacheField>
    <cacheField name="Skills" numFmtId="0">
      <sharedItems containsBlank="1" count="6">
        <s v="Design"/>
        <s v="Management"/>
        <s v="Python"/>
        <s v="Communication"/>
        <s v="Excel"/>
        <m/>
      </sharedItems>
    </cacheField>
    <cacheField name="Certifications" numFmtId="0">
      <sharedItems containsBlank="1"/>
    </cacheField>
  </cacheFields>
  <extLst>
    <ext xmlns:x14="http://schemas.microsoft.com/office/spreadsheetml/2009/9/main" uri="{725AE2AE-9491-48be-B2B4-4EB974FC3084}">
      <x14:pivotCacheDefinition pivotCacheId="1237049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4294"/>
    <x v="0"/>
    <x v="0"/>
    <n v="25"/>
    <x v="0"/>
    <x v="0"/>
    <x v="0"/>
    <x v="0"/>
    <s v="Luis Reynolds"/>
    <s v="2019-03-15"/>
    <x v="0"/>
    <x v="0"/>
    <n v="53700"/>
    <s v="C"/>
    <n v="1463"/>
    <s v="Health"/>
    <x v="0"/>
    <n v="1"/>
    <s v="Leadership Training"/>
    <x v="0"/>
    <s v="Certified Professional"/>
  </r>
  <r>
    <n v="9116"/>
    <x v="1"/>
    <x v="1"/>
    <n v="27"/>
    <x v="1"/>
    <x v="1"/>
    <x v="1"/>
    <x v="1"/>
    <s v="Ashley Simmons MD"/>
    <s v="2022-12-20"/>
    <x v="0"/>
    <x v="1"/>
    <n v="91091"/>
    <s v="B"/>
    <n v="1024"/>
    <s v="None"/>
    <x v="1"/>
    <n v="4"/>
    <s v="Excel Workshop"/>
    <x v="0"/>
    <s v="Certified Professional"/>
  </r>
  <r>
    <n v="5120"/>
    <x v="2"/>
    <x v="1"/>
    <n v="34"/>
    <x v="1"/>
    <x v="2"/>
    <x v="2"/>
    <x v="2"/>
    <s v="Cassandra Duncan"/>
    <s v="2022-08-10"/>
    <x v="0"/>
    <x v="2"/>
    <n v="57538"/>
    <s v="D"/>
    <n v="1674"/>
    <s v="None"/>
    <x v="2"/>
    <n v="1"/>
    <s v="None"/>
    <x v="1"/>
    <s v="Advanced Training"/>
  </r>
  <r>
    <n v="8071"/>
    <x v="3"/>
    <x v="0"/>
    <n v="41"/>
    <x v="2"/>
    <x v="2"/>
    <x v="0"/>
    <x v="3"/>
    <s v="Janet Harris"/>
    <s v="2024-09-03"/>
    <x v="1"/>
    <x v="0"/>
    <n v="62993"/>
    <s v="A"/>
    <n v="2695"/>
    <s v="Health + Dental"/>
    <x v="3"/>
    <n v="2"/>
    <s v="None"/>
    <x v="2"/>
    <s v="None"/>
  </r>
  <r>
    <n v="9351"/>
    <x v="4"/>
    <x v="1"/>
    <n v="56"/>
    <x v="3"/>
    <x v="0"/>
    <x v="0"/>
    <x v="2"/>
    <s v="Mr. Frank Clay"/>
    <s v="2019-03-14"/>
    <x v="1"/>
    <x v="1"/>
    <n v="45773"/>
    <s v="A"/>
    <n v="8776"/>
    <s v="Health"/>
    <x v="4"/>
    <n v="4"/>
    <s v="Leadership Training"/>
    <x v="2"/>
    <s v="None"/>
  </r>
  <r>
    <n v="2873"/>
    <x v="5"/>
    <x v="0"/>
    <n v="28"/>
    <x v="1"/>
    <x v="2"/>
    <x v="3"/>
    <x v="2"/>
    <s v="Dorothy Price"/>
    <s v="2017-01-23"/>
    <x v="0"/>
    <x v="1"/>
    <n v="96249"/>
    <s v="C"/>
    <n v="4826"/>
    <s v="Health + Dental"/>
    <x v="5"/>
    <n v="3"/>
    <s v="Leadership Training"/>
    <x v="3"/>
    <s v="Certified Professional"/>
  </r>
  <r>
    <n v="3540"/>
    <x v="6"/>
    <x v="0"/>
    <n v="20"/>
    <x v="0"/>
    <x v="1"/>
    <x v="2"/>
    <x v="2"/>
    <s v="Michele Sexton"/>
    <s v="2024-08-17"/>
    <x v="0"/>
    <x v="2"/>
    <n v="61596"/>
    <s v="C"/>
    <n v="8818"/>
    <s v="Health + Dental"/>
    <x v="6"/>
    <n v="2"/>
    <s v="Leadership Training"/>
    <x v="1"/>
    <s v="None"/>
  </r>
  <r>
    <n v="3653"/>
    <x v="7"/>
    <x v="0"/>
    <n v="58"/>
    <x v="3"/>
    <x v="3"/>
    <x v="1"/>
    <x v="4"/>
    <s v="Richard Schmidt"/>
    <s v="2014-12-09"/>
    <x v="0"/>
    <x v="2"/>
    <n v="97869"/>
    <s v="A"/>
    <n v="1966"/>
    <s v="Health"/>
    <x v="7"/>
    <n v="1"/>
    <s v="Leadership Training"/>
    <x v="0"/>
    <s v="Certified Professional"/>
  </r>
  <r>
    <n v="5587"/>
    <x v="8"/>
    <x v="0"/>
    <n v="44"/>
    <x v="2"/>
    <x v="3"/>
    <x v="2"/>
    <x v="2"/>
    <s v="Teresa Pearson"/>
    <s v="2021-06-28"/>
    <x v="0"/>
    <x v="0"/>
    <n v="81235"/>
    <s v="A"/>
    <n v="6553"/>
    <s v="None"/>
    <x v="4"/>
    <n v="2"/>
    <s v="None"/>
    <x v="1"/>
    <s v="Certified Professional"/>
  </r>
  <r>
    <n v="9554"/>
    <x v="9"/>
    <x v="0"/>
    <n v="29"/>
    <x v="1"/>
    <x v="1"/>
    <x v="2"/>
    <x v="3"/>
    <s v="Laura Hart"/>
    <s v="2018-05-20"/>
    <x v="0"/>
    <x v="1"/>
    <n v="87852"/>
    <s v="A"/>
    <n v="4980"/>
    <s v="Health + Dental"/>
    <x v="1"/>
    <n v="3"/>
    <s v="None"/>
    <x v="2"/>
    <s v="Certified Professional"/>
  </r>
  <r>
    <n v="6213"/>
    <x v="10"/>
    <x v="1"/>
    <n v="23"/>
    <x v="0"/>
    <x v="3"/>
    <x v="0"/>
    <x v="2"/>
    <s v="Andrea May"/>
    <s v="2017-02-13"/>
    <x v="1"/>
    <x v="1"/>
    <n v="59359"/>
    <s v="A"/>
    <n v="9449"/>
    <s v="Health + Dental"/>
    <x v="8"/>
    <n v="3"/>
    <s v="None"/>
    <x v="1"/>
    <s v="None"/>
  </r>
  <r>
    <n v="9105"/>
    <x v="11"/>
    <x v="1"/>
    <n v="30"/>
    <x v="1"/>
    <x v="0"/>
    <x v="1"/>
    <x v="0"/>
    <s v="Casey Martin"/>
    <s v="2024-05-05"/>
    <x v="1"/>
    <x v="2"/>
    <n v="81225"/>
    <s v="D"/>
    <n v="6202"/>
    <s v="Health + Dental"/>
    <x v="9"/>
    <n v="2"/>
    <s v="Excel Workshop"/>
    <x v="4"/>
    <s v="Certified Professional"/>
  </r>
  <r>
    <n v="9508"/>
    <x v="12"/>
    <x v="0"/>
    <n v="49"/>
    <x v="4"/>
    <x v="1"/>
    <x v="0"/>
    <x v="0"/>
    <s v="Amber Allen"/>
    <s v="2022-04-19"/>
    <x v="1"/>
    <x v="0"/>
    <n v="32788"/>
    <s v="D"/>
    <n v="4396"/>
    <s v="Health"/>
    <x v="10"/>
    <n v="5"/>
    <s v="None"/>
    <x v="3"/>
    <s v="Advanced Training"/>
  </r>
  <r>
    <n v="2436"/>
    <x v="13"/>
    <x v="1"/>
    <n v="60"/>
    <x v="3"/>
    <x v="4"/>
    <x v="0"/>
    <x v="3"/>
    <s v="Adam Johnson"/>
    <s v="2015-11-16"/>
    <x v="1"/>
    <x v="2"/>
    <n v="70452"/>
    <s v="D"/>
    <n v="9911"/>
    <s v="None"/>
    <x v="9"/>
    <n v="1"/>
    <s v="None"/>
    <x v="3"/>
    <s v="Certified Professional"/>
  </r>
  <r>
    <n v="4441"/>
    <x v="14"/>
    <x v="1"/>
    <n v="46"/>
    <x v="4"/>
    <x v="1"/>
    <x v="3"/>
    <x v="0"/>
    <s v="Nicole Dominguez"/>
    <s v="2023-09-09"/>
    <x v="0"/>
    <x v="1"/>
    <n v="33045"/>
    <s v="B"/>
    <n v="1456"/>
    <s v="None"/>
    <x v="4"/>
    <n v="3"/>
    <s v="Excel Workshop"/>
    <x v="3"/>
    <s v="None"/>
  </r>
  <r>
    <n v="5827"/>
    <x v="15"/>
    <x v="1"/>
    <n v="57"/>
    <x v="3"/>
    <x v="2"/>
    <x v="3"/>
    <x v="1"/>
    <s v="Andrew Best"/>
    <s v="2017-12-12"/>
    <x v="2"/>
    <x v="2"/>
    <n v="96429"/>
    <s v="C"/>
    <n v="4740"/>
    <s v="None"/>
    <x v="2"/>
    <n v="1"/>
    <s v="Excel Workshop"/>
    <x v="2"/>
    <s v="None"/>
  </r>
  <r>
    <n v="5184"/>
    <x v="16"/>
    <x v="0"/>
    <n v="24"/>
    <x v="0"/>
    <x v="1"/>
    <x v="2"/>
    <x v="2"/>
    <s v="Gabrielle Rodriguez"/>
    <s v="2017-03-10"/>
    <x v="2"/>
    <x v="2"/>
    <n v="33183"/>
    <s v="A"/>
    <n v="8114"/>
    <s v="None"/>
    <x v="6"/>
    <n v="2"/>
    <s v="Excel Workshop"/>
    <x v="4"/>
    <s v="Advanced Training"/>
  </r>
  <r>
    <n v="5874"/>
    <x v="3"/>
    <x v="0"/>
    <n v="35"/>
    <x v="1"/>
    <x v="4"/>
    <x v="3"/>
    <x v="0"/>
    <s v="Allison Harvey"/>
    <s v="2019-03-04"/>
    <x v="2"/>
    <x v="0"/>
    <n v="75065"/>
    <s v="C"/>
    <n v="7123"/>
    <s v="None"/>
    <x v="8"/>
    <n v="2"/>
    <s v="None"/>
    <x v="0"/>
    <s v="Advanced Training"/>
  </r>
  <r>
    <n v="9834"/>
    <x v="17"/>
    <x v="1"/>
    <n v="41"/>
    <x v="2"/>
    <x v="1"/>
    <x v="1"/>
    <x v="4"/>
    <s v="Tristan Mejia"/>
    <s v="2022-11-20"/>
    <x v="0"/>
    <x v="2"/>
    <n v="32877"/>
    <s v="C"/>
    <n v="6432"/>
    <s v="Health"/>
    <x v="11"/>
    <n v="1"/>
    <s v="None"/>
    <x v="0"/>
    <s v="None"/>
  </r>
  <r>
    <n v="5096"/>
    <x v="18"/>
    <x v="1"/>
    <n v="36"/>
    <x v="2"/>
    <x v="1"/>
    <x v="4"/>
    <x v="3"/>
    <s v="Mary Welch"/>
    <s v="2021-03-02"/>
    <x v="0"/>
    <x v="1"/>
    <n v="46811"/>
    <s v="D"/>
    <n v="1567"/>
    <s v="None"/>
    <x v="5"/>
    <n v="3"/>
    <s v="Excel Workshop"/>
    <x v="0"/>
    <s v="Advanced Training"/>
  </r>
  <r>
    <n v="2263"/>
    <x v="19"/>
    <x v="1"/>
    <n v="31"/>
    <x v="1"/>
    <x v="3"/>
    <x v="2"/>
    <x v="1"/>
    <s v="Douglas Miles"/>
    <s v="2021-08-01"/>
    <x v="1"/>
    <x v="1"/>
    <n v="87538"/>
    <s v="C"/>
    <n v="3588"/>
    <s v="Health + Dental"/>
    <x v="11"/>
    <n v="5"/>
    <s v="Excel Workshop"/>
    <x v="2"/>
    <s v="None"/>
  </r>
  <r>
    <n v="6505"/>
    <x v="20"/>
    <x v="0"/>
    <n v="28"/>
    <x v="1"/>
    <x v="0"/>
    <x v="1"/>
    <x v="4"/>
    <s v="Jessica Fleming"/>
    <s v="2015-08-14"/>
    <x v="0"/>
    <x v="1"/>
    <n v="73002"/>
    <s v="C"/>
    <n v="6296"/>
    <s v="Health"/>
    <x v="9"/>
    <n v="5"/>
    <s v="Excel Workshop"/>
    <x v="1"/>
    <s v="Certified Professional"/>
  </r>
  <r>
    <n v="8626"/>
    <x v="21"/>
    <x v="1"/>
    <n v="37"/>
    <x v="2"/>
    <x v="3"/>
    <x v="1"/>
    <x v="3"/>
    <s v="Christine Lee"/>
    <s v="2015-10-21"/>
    <x v="2"/>
    <x v="2"/>
    <n v="41653"/>
    <s v="D"/>
    <n v="9236"/>
    <s v="None"/>
    <x v="10"/>
    <n v="1"/>
    <s v="Excel Workshop"/>
    <x v="0"/>
    <s v="None"/>
  </r>
  <r>
    <n v="5979"/>
    <x v="22"/>
    <x v="0"/>
    <n v="31"/>
    <x v="1"/>
    <x v="0"/>
    <x v="0"/>
    <x v="2"/>
    <s v="Mario Smith DVM"/>
    <s v="2015-03-14"/>
    <x v="1"/>
    <x v="1"/>
    <n v="67582"/>
    <s v="A"/>
    <n v="1375"/>
    <s v="Health"/>
    <x v="8"/>
    <n v="3"/>
    <s v="Excel Workshop"/>
    <x v="1"/>
    <s v="None"/>
  </r>
  <r>
    <n v="3104"/>
    <x v="23"/>
    <x v="0"/>
    <n v="23"/>
    <x v="0"/>
    <x v="3"/>
    <x v="1"/>
    <x v="1"/>
    <s v="Joseph Francis"/>
    <s v="2024-05-22"/>
    <x v="2"/>
    <x v="1"/>
    <n v="37351"/>
    <s v="D"/>
    <n v="7858"/>
    <s v="Health + Dental"/>
    <x v="12"/>
    <n v="2"/>
    <s v="Leadership Training"/>
    <x v="1"/>
    <s v="Advanced Training"/>
  </r>
  <r>
    <n v="8967"/>
    <x v="24"/>
    <x v="0"/>
    <n v="48"/>
    <x v="4"/>
    <x v="4"/>
    <x v="2"/>
    <x v="0"/>
    <s v="Sarah Young"/>
    <s v="2017-03-19"/>
    <x v="0"/>
    <x v="1"/>
    <n v="36721"/>
    <s v="B"/>
    <n v="8820"/>
    <s v="Health + Dental"/>
    <x v="3"/>
    <n v="2"/>
    <s v="Excel Workshop"/>
    <x v="1"/>
    <s v="Certified Professional"/>
  </r>
  <r>
    <n v="5087"/>
    <x v="25"/>
    <x v="1"/>
    <n v="28"/>
    <x v="1"/>
    <x v="2"/>
    <x v="4"/>
    <x v="0"/>
    <s v="Aaron Hart"/>
    <s v="2021-09-15"/>
    <x v="1"/>
    <x v="2"/>
    <n v="46326"/>
    <s v="B"/>
    <n v="9189"/>
    <s v="Health + Dental"/>
    <x v="2"/>
    <n v="4"/>
    <s v="Leadership Training"/>
    <x v="3"/>
    <s v="Advanced Training"/>
  </r>
  <r>
    <n v="3358"/>
    <x v="26"/>
    <x v="1"/>
    <n v="30"/>
    <x v="1"/>
    <x v="1"/>
    <x v="3"/>
    <x v="1"/>
    <s v="Brian Boyd"/>
    <s v="2022-05-09"/>
    <x v="0"/>
    <x v="0"/>
    <n v="59007"/>
    <s v="C"/>
    <n v="3380"/>
    <s v="Health"/>
    <x v="13"/>
    <n v="3"/>
    <s v="None"/>
    <x v="4"/>
    <s v="Certified Professional"/>
  </r>
  <r>
    <n v="8256"/>
    <x v="27"/>
    <x v="1"/>
    <n v="46"/>
    <x v="4"/>
    <x v="3"/>
    <x v="0"/>
    <x v="3"/>
    <s v="Steven Krueger"/>
    <s v="2017-06-22"/>
    <x v="0"/>
    <x v="1"/>
    <n v="52020"/>
    <s v="B"/>
    <n v="9585"/>
    <s v="Health + Dental"/>
    <x v="3"/>
    <n v="4"/>
    <s v="Excel Workshop"/>
    <x v="4"/>
    <s v="None"/>
  </r>
  <r>
    <n v="5763"/>
    <x v="28"/>
    <x v="1"/>
    <n v="44"/>
    <x v="2"/>
    <x v="1"/>
    <x v="2"/>
    <x v="1"/>
    <s v="Debra Williams"/>
    <s v="2020-11-28"/>
    <x v="2"/>
    <x v="1"/>
    <n v="98961"/>
    <s v="D"/>
    <n v="2688"/>
    <s v="Health"/>
    <x v="9"/>
    <n v="5"/>
    <s v="Excel Workshop"/>
    <x v="4"/>
    <s v="Certified Professional"/>
  </r>
  <r>
    <n v="6838"/>
    <x v="29"/>
    <x v="1"/>
    <n v="45"/>
    <x v="2"/>
    <x v="2"/>
    <x v="3"/>
    <x v="2"/>
    <s v="Karen Mitchell"/>
    <s v="2015-08-30"/>
    <x v="2"/>
    <x v="1"/>
    <n v="81943"/>
    <s v="C"/>
    <n v="2255"/>
    <s v="Health"/>
    <x v="12"/>
    <n v="2"/>
    <s v="None"/>
    <x v="2"/>
    <s v="Certified Professional"/>
  </r>
  <r>
    <n v="9544"/>
    <x v="30"/>
    <x v="1"/>
    <n v="52"/>
    <x v="4"/>
    <x v="4"/>
    <x v="2"/>
    <x v="1"/>
    <s v="Joseph Sanders"/>
    <s v="2018-10-27"/>
    <x v="2"/>
    <x v="1"/>
    <n v="47627"/>
    <s v="C"/>
    <n v="1221"/>
    <s v="None"/>
    <x v="6"/>
    <n v="3"/>
    <s v="None"/>
    <x v="1"/>
    <s v="None"/>
  </r>
  <r>
    <n v="8012"/>
    <x v="31"/>
    <x v="0"/>
    <n v="52"/>
    <x v="4"/>
    <x v="0"/>
    <x v="0"/>
    <x v="4"/>
    <s v="Shelly George"/>
    <s v="2018-08-26"/>
    <x v="2"/>
    <x v="1"/>
    <n v="56162"/>
    <s v="D"/>
    <n v="6560"/>
    <s v="Health + Dental"/>
    <x v="14"/>
    <n v="4"/>
    <s v="Excel Workshop"/>
    <x v="3"/>
    <s v="None"/>
  </r>
  <r>
    <n v="9374"/>
    <x v="32"/>
    <x v="0"/>
    <n v="42"/>
    <x v="2"/>
    <x v="1"/>
    <x v="2"/>
    <x v="2"/>
    <s v="Nicole Houston"/>
    <s v="2023-07-24"/>
    <x v="1"/>
    <x v="2"/>
    <n v="95734"/>
    <s v="C"/>
    <n v="4854"/>
    <s v="Health"/>
    <x v="10"/>
    <n v="2"/>
    <s v="Leadership Training"/>
    <x v="0"/>
    <s v="Certified Professional"/>
  </r>
  <r>
    <n v="3487"/>
    <x v="33"/>
    <x v="1"/>
    <n v="58"/>
    <x v="3"/>
    <x v="1"/>
    <x v="1"/>
    <x v="3"/>
    <s v="Kristin Shaffer"/>
    <s v="2018-07-09"/>
    <x v="1"/>
    <x v="2"/>
    <n v="74789"/>
    <s v="C"/>
    <n v="8101"/>
    <s v="Health + Dental"/>
    <x v="15"/>
    <n v="5"/>
    <s v="Excel Workshop"/>
    <x v="2"/>
    <s v="None"/>
  </r>
  <r>
    <n v="8445"/>
    <x v="34"/>
    <x v="0"/>
    <n v="24"/>
    <x v="0"/>
    <x v="4"/>
    <x v="0"/>
    <x v="3"/>
    <s v="Joel Aguilar"/>
    <s v="2016-12-21"/>
    <x v="0"/>
    <x v="2"/>
    <n v="30137"/>
    <s v="B"/>
    <n v="4031"/>
    <s v="None"/>
    <x v="16"/>
    <n v="3"/>
    <s v="None"/>
    <x v="1"/>
    <s v="Certified Professional"/>
  </r>
  <r>
    <n v="1550"/>
    <x v="35"/>
    <x v="1"/>
    <n v="21"/>
    <x v="0"/>
    <x v="1"/>
    <x v="0"/>
    <x v="0"/>
    <s v="Michael Wade"/>
    <s v="2019-06-27"/>
    <x v="0"/>
    <x v="2"/>
    <n v="95510"/>
    <s v="C"/>
    <n v="6811"/>
    <s v="Health"/>
    <x v="12"/>
    <n v="4"/>
    <s v="Excel Workshop"/>
    <x v="4"/>
    <s v="Certified Professional"/>
  </r>
  <r>
    <n v="9968"/>
    <x v="36"/>
    <x v="1"/>
    <n v="58"/>
    <x v="3"/>
    <x v="1"/>
    <x v="3"/>
    <x v="0"/>
    <s v="Jessica Walsh"/>
    <s v="2021-08-27"/>
    <x v="1"/>
    <x v="0"/>
    <n v="80325"/>
    <s v="B"/>
    <n v="6230"/>
    <s v="Health"/>
    <x v="16"/>
    <n v="4"/>
    <s v="None"/>
    <x v="2"/>
    <s v="Advanced Training"/>
  </r>
  <r>
    <n v="8029"/>
    <x v="37"/>
    <x v="0"/>
    <n v="57"/>
    <x v="3"/>
    <x v="3"/>
    <x v="4"/>
    <x v="4"/>
    <s v="Kelly Mack"/>
    <s v="2017-05-28"/>
    <x v="2"/>
    <x v="1"/>
    <n v="34109"/>
    <s v="B"/>
    <n v="9232"/>
    <s v="Health"/>
    <x v="10"/>
    <n v="3"/>
    <s v="Leadership Training"/>
    <x v="0"/>
    <s v="Certified Professional"/>
  </r>
  <r>
    <n v="8847"/>
    <x v="38"/>
    <x v="1"/>
    <n v="41"/>
    <x v="2"/>
    <x v="3"/>
    <x v="3"/>
    <x v="0"/>
    <s v="John Conley"/>
    <s v="2022-01-30"/>
    <x v="2"/>
    <x v="2"/>
    <n v="73330"/>
    <s v="C"/>
    <n v="2276"/>
    <s v="Health + Dental"/>
    <x v="16"/>
    <n v="1"/>
    <s v="None"/>
    <x v="1"/>
    <s v="Advanced Training"/>
  </r>
  <r>
    <n v="1955"/>
    <x v="39"/>
    <x v="0"/>
    <n v="58"/>
    <x v="3"/>
    <x v="2"/>
    <x v="2"/>
    <x v="1"/>
    <s v="Aaron Baker"/>
    <s v="2017-04-20"/>
    <x v="1"/>
    <x v="2"/>
    <n v="46567"/>
    <s v="A"/>
    <n v="2825"/>
    <s v="Health"/>
    <x v="17"/>
    <n v="3"/>
    <s v="None"/>
    <x v="4"/>
    <s v="Advanced Training"/>
  </r>
  <r>
    <n v="4522"/>
    <x v="40"/>
    <x v="0"/>
    <n v="36"/>
    <x v="2"/>
    <x v="0"/>
    <x v="4"/>
    <x v="0"/>
    <s v="Christopher Bass"/>
    <s v="2019-07-22"/>
    <x v="1"/>
    <x v="1"/>
    <n v="39795"/>
    <s v="A"/>
    <n v="1670"/>
    <s v="None"/>
    <x v="3"/>
    <n v="2"/>
    <s v="Excel Workshop"/>
    <x v="3"/>
    <s v="None"/>
  </r>
  <r>
    <n v="3078"/>
    <x v="41"/>
    <x v="0"/>
    <n v="21"/>
    <x v="0"/>
    <x v="0"/>
    <x v="0"/>
    <x v="4"/>
    <s v="Sean Tucker PhD"/>
    <s v="2018-11-29"/>
    <x v="1"/>
    <x v="2"/>
    <n v="59506"/>
    <s v="A"/>
    <n v="4428"/>
    <s v="Health + Dental"/>
    <x v="3"/>
    <n v="1"/>
    <s v="None"/>
    <x v="3"/>
    <s v="Certified Professional"/>
  </r>
  <r>
    <n v="6357"/>
    <x v="42"/>
    <x v="0"/>
    <n v="46"/>
    <x v="4"/>
    <x v="2"/>
    <x v="1"/>
    <x v="4"/>
    <s v="Jacob Scott"/>
    <s v="2022-11-14"/>
    <x v="1"/>
    <x v="2"/>
    <n v="49058"/>
    <s v="B"/>
    <n v="4396"/>
    <s v="None"/>
    <x v="16"/>
    <n v="1"/>
    <s v="None"/>
    <x v="3"/>
    <s v="None"/>
  </r>
  <r>
    <n v="7951"/>
    <x v="43"/>
    <x v="0"/>
    <n v="36"/>
    <x v="2"/>
    <x v="3"/>
    <x v="2"/>
    <x v="4"/>
    <s v="Joel Park"/>
    <s v="2016-02-23"/>
    <x v="1"/>
    <x v="0"/>
    <n v="98612"/>
    <s v="A"/>
    <n v="1168"/>
    <s v="None"/>
    <x v="14"/>
    <n v="2"/>
    <s v="Excel Workshop"/>
    <x v="0"/>
    <s v="Certified Professional"/>
  </r>
  <r>
    <n v="9228"/>
    <x v="44"/>
    <x v="1"/>
    <n v="41"/>
    <x v="2"/>
    <x v="4"/>
    <x v="3"/>
    <x v="1"/>
    <s v="Russell Marshall"/>
    <s v="2018-05-18"/>
    <x v="2"/>
    <x v="1"/>
    <n v="38201"/>
    <s v="A"/>
    <n v="7111"/>
    <s v="Health"/>
    <x v="2"/>
    <n v="4"/>
    <s v="Leadership Training"/>
    <x v="3"/>
    <s v="None"/>
  </r>
  <r>
    <n v="8988"/>
    <x v="45"/>
    <x v="1"/>
    <n v="25"/>
    <x v="0"/>
    <x v="0"/>
    <x v="2"/>
    <x v="2"/>
    <s v="James Holden"/>
    <s v="2024-03-09"/>
    <x v="2"/>
    <x v="1"/>
    <n v="92919"/>
    <s v="D"/>
    <n v="9497"/>
    <s v="Health"/>
    <x v="5"/>
    <n v="2"/>
    <s v="None"/>
    <x v="3"/>
    <s v="Advanced Training"/>
  </r>
  <r>
    <n v="1952"/>
    <x v="46"/>
    <x v="0"/>
    <n v="29"/>
    <x v="1"/>
    <x v="4"/>
    <x v="0"/>
    <x v="1"/>
    <s v="Thomas Murphy"/>
    <s v="2024-03-27"/>
    <x v="0"/>
    <x v="2"/>
    <n v="45188"/>
    <s v="A"/>
    <n v="9591"/>
    <s v="Health + Dental"/>
    <x v="12"/>
    <n v="3"/>
    <s v="Leadership Training"/>
    <x v="3"/>
    <s v="None"/>
  </r>
  <r>
    <n v="5760"/>
    <x v="47"/>
    <x v="0"/>
    <n v="59"/>
    <x v="3"/>
    <x v="2"/>
    <x v="1"/>
    <x v="0"/>
    <s v="Mark Abbott"/>
    <s v="2019-12-23"/>
    <x v="0"/>
    <x v="1"/>
    <n v="34927"/>
    <s v="D"/>
    <n v="6996"/>
    <s v="Health + Dental"/>
    <x v="4"/>
    <n v="1"/>
    <s v="Excel Workshop"/>
    <x v="0"/>
    <s v="Certified Professional"/>
  </r>
  <r>
    <n v="5742"/>
    <x v="48"/>
    <x v="0"/>
    <n v="27"/>
    <x v="1"/>
    <x v="0"/>
    <x v="2"/>
    <x v="3"/>
    <s v="Robin Lynch"/>
    <s v="2016-08-25"/>
    <x v="0"/>
    <x v="1"/>
    <n v="33183"/>
    <s v="A"/>
    <n v="1659"/>
    <s v="None"/>
    <x v="11"/>
    <n v="1"/>
    <s v="Leadership Training"/>
    <x v="2"/>
    <s v="None"/>
  </r>
  <r>
    <m/>
    <x v="49"/>
    <x v="2"/>
    <m/>
    <x v="5"/>
    <x v="5"/>
    <x v="5"/>
    <x v="5"/>
    <m/>
    <m/>
    <x v="3"/>
    <x v="3"/>
    <m/>
    <m/>
    <m/>
    <m/>
    <x v="18"/>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036FF-B90C-4043-85E8-CAD18B9DB579}" name="age 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L11" firstHeaderRow="1" firstDataRow="2" firstDataCol="1"/>
  <pivotFields count="21">
    <pivotField showAll="0"/>
    <pivotField dataField="1"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h="1" x="49"/>
        <item t="default"/>
      </items>
    </pivotField>
    <pivotField axis="axisCol" showAll="0">
      <items count="4">
        <item x="0"/>
        <item x="1"/>
        <item h="1" x="2"/>
        <item t="default"/>
      </items>
    </pivotField>
    <pivotField showAll="0"/>
    <pivotField axis="axisRow" showAll="0">
      <items count="7">
        <item x="0"/>
        <item x="1"/>
        <item x="2"/>
        <item x="4"/>
        <item x="3"/>
        <item h="1" x="5"/>
        <item t="default"/>
      </items>
    </pivotField>
    <pivotField showAll="0"/>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32">
      <pivotArea type="all" dataOnly="0" outline="0" fieldPosition="0"/>
    </format>
    <format dxfId="31">
      <pivotArea outline="0" collapsedLevelsAreSubtotals="1" fieldPosition="0"/>
    </format>
    <format dxfId="30">
      <pivotArea type="origin" dataOnly="0" labelOnly="1" outline="0" fieldPosition="0"/>
    </format>
    <format dxfId="29">
      <pivotArea field="2" type="button" dataOnly="0" labelOnly="1" outline="0" axis="axisCol" fieldPosition="0"/>
    </format>
    <format dxfId="28">
      <pivotArea type="topRight" dataOnly="0" labelOnly="1" outline="0"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fieldPosition="0">
        <references count="1">
          <reference field="2" count="0"/>
        </references>
      </pivotArea>
    </format>
    <format dxfId="2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D2AE05-D88E-49D6-B114-CFF45AD519A7}" name="depart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11" firstHeaderRow="1" firstDataRow="1" firstDataCol="1"/>
  <pivotFields count="21">
    <pivotField showAll="0"/>
    <pivotField showAll="0"/>
    <pivotField showAll="0">
      <items count="4">
        <item x="0"/>
        <item x="1"/>
        <item h="1" x="2"/>
        <item t="default"/>
      </items>
    </pivotField>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7">
    <i>
      <x/>
    </i>
    <i>
      <x v="1"/>
    </i>
    <i>
      <x v="2"/>
    </i>
    <i>
      <x v="3"/>
    </i>
    <i>
      <x v="4"/>
    </i>
    <i>
      <x v="5"/>
    </i>
    <i t="grand">
      <x/>
    </i>
  </rowItems>
  <colItems count="1">
    <i/>
  </colItems>
  <dataFields count="1">
    <dataField name="Average of Performance Rating" fld="17" subtotal="average" baseField="7" baseItem="0"/>
  </dataFields>
  <formats count="7">
    <format dxfId="39">
      <pivotArea collapsedLevelsAreSubtotals="1" fieldPosition="0">
        <references count="1">
          <reference field="7" count="0"/>
        </references>
      </pivotArea>
    </format>
    <format dxfId="38">
      <pivotArea type="all" dataOnly="0" outline="0" fieldPosition="0"/>
    </format>
    <format dxfId="37">
      <pivotArea outline="0" collapsedLevelsAreSubtotals="1" fieldPosition="0"/>
    </format>
    <format dxfId="36">
      <pivotArea field="7" type="button" dataOnly="0" labelOnly="1" outline="0" axis="axisRow" fieldPosition="0"/>
    </format>
    <format dxfId="35">
      <pivotArea dataOnly="0" labelOnly="1" fieldPosition="0">
        <references count="1">
          <reference field="7"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A02F9-76B2-4CC0-83C7-85273AC1FA34}" name="work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items count="4">
        <item x="0"/>
        <item x="1"/>
        <item h="1" x="2"/>
        <item t="default"/>
      </items>
    </pivotField>
    <pivotField showAll="0"/>
    <pivotField showAll="0"/>
    <pivotField showAll="0"/>
    <pivotField showAll="0"/>
    <pivotField showAll="0">
      <items count="7">
        <item x="0"/>
        <item x="1"/>
        <item x="4"/>
        <item x="2"/>
        <item x="3"/>
        <item x="5"/>
        <item t="default"/>
      </items>
    </pivotField>
    <pivotField showAll="0"/>
    <pivotField showAll="0"/>
    <pivotField showAll="0"/>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45">
      <pivotArea type="all" dataOnly="0" outline="0" fieldPosition="0"/>
    </format>
    <format dxfId="44">
      <pivotArea outline="0" collapsedLevelsAreSubtotals="1" fieldPosition="0"/>
    </format>
    <format dxfId="43">
      <pivotArea field="11" type="button" dataOnly="0" labelOnly="1" outline="0" axis="axisRow" fieldPosition="0"/>
    </format>
    <format dxfId="42">
      <pivotArea dataOnly="0" labelOnly="1" fieldPosition="0">
        <references count="1">
          <reference field="11" count="0"/>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71494-30EF-4E99-B7FE-81E879C6BCA5}"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1">
    <pivotField showAll="0"/>
    <pivotField dataField="1" showAll="0"/>
    <pivotField showAll="0">
      <items count="4">
        <item x="0"/>
        <item x="1"/>
        <item h="1" x="2"/>
        <item t="default"/>
      </items>
    </pivotField>
    <pivotField showAll="0"/>
    <pivotField showAll="0"/>
    <pivotField showAll="0"/>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x="4"/>
        <item x="1"/>
        <item x="2"/>
        <item h="1" x="5"/>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51">
      <pivotArea type="all" dataOnly="0" outline="0" fieldPosition="0"/>
    </format>
    <format dxfId="50">
      <pivotArea outline="0" collapsedLevelsAreSubtotals="1" fieldPosition="0"/>
    </format>
    <format dxfId="49">
      <pivotArea field="19" type="button" dataOnly="0" labelOnly="1" outline="0" axis="axisRow" fieldPosition="0"/>
    </format>
    <format dxfId="48">
      <pivotArea dataOnly="0" labelOnly="1" fieldPosition="0">
        <references count="1">
          <reference field="19" count="0"/>
        </references>
      </pivotArea>
    </format>
    <format dxfId="47">
      <pivotArea dataOnly="0" labelOnly="1" grandRow="1" outline="0"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C6D2E4-5900-41EE-B27B-C9F815087804}" name="employe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1">
    <pivotField showAll="0"/>
    <pivotField dataField="1" showAll="0"/>
    <pivotField showAll="0">
      <items count="4">
        <item x="0"/>
        <item x="1"/>
        <item h="1" x="2"/>
        <item t="default"/>
      </items>
    </pivotField>
    <pivotField showAll="0"/>
    <pivotField showAll="0"/>
    <pivotField showAll="0"/>
    <pivotField showAll="0"/>
    <pivotField showAll="0">
      <items count="7">
        <item x="0"/>
        <item x="1"/>
        <item x="4"/>
        <item x="2"/>
        <item x="3"/>
        <item x="5"/>
        <item t="default"/>
      </items>
    </pivotField>
    <pivotField showAll="0"/>
    <pivotField showAll="0"/>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57">
      <pivotArea type="all" dataOnly="0" outline="0" fieldPosition="0"/>
    </format>
    <format dxfId="56">
      <pivotArea outline="0" collapsedLevelsAreSubtotals="1" fieldPosition="0"/>
    </format>
    <format dxfId="55">
      <pivotArea field="10" type="button" dataOnly="0" labelOnly="1" outline="0" axis="axisRow" fieldPosition="0"/>
    </format>
    <format dxfId="54">
      <pivotArea dataOnly="0" labelOnly="1" fieldPosition="0">
        <references count="1">
          <reference field="10" count="0"/>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EE89D8-EF75-4D00-AE41-9CF95FCD5C38}" name="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V4:W10" firstHeaderRow="1" firstDataRow="1" firstDataCol="1"/>
  <pivotFields count="21">
    <pivotField showAll="0"/>
    <pivotField dataField="1" showAll="0"/>
    <pivotField showAll="0">
      <items count="4">
        <item x="0"/>
        <item x="1"/>
        <item h="1" x="2"/>
        <item t="default"/>
      </items>
    </pivotField>
    <pivotField showAll="0"/>
    <pivotField showAll="0"/>
    <pivotField axis="axisRow" showAll="0">
      <items count="7">
        <item x="1"/>
        <item x="0"/>
        <item x="4"/>
        <item x="3"/>
        <item x="2"/>
        <item h="1" x="5"/>
        <item t="default"/>
      </items>
    </pivotField>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6">
    <format dxfId="63">
      <pivotArea type="all" dataOnly="0" outline="0" fieldPosition="0"/>
    </format>
    <format dxfId="62">
      <pivotArea outline="0" collapsedLevelsAreSubtotals="1" fieldPosition="0"/>
    </format>
    <format dxfId="61">
      <pivotArea field="5" type="button" dataOnly="0" labelOnly="1" outline="0" axis="axisRow" fieldPosition="0"/>
    </format>
    <format dxfId="60">
      <pivotArea dataOnly="0" labelOnly="1" fieldPosition="0">
        <references count="1">
          <reference field="5" count="0"/>
        </references>
      </pivotArea>
    </format>
    <format dxfId="59">
      <pivotArea dataOnly="0" labelOnly="1" grandRow="1" outline="0"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22876F-417B-424E-8A65-0EE80C724F1A}"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10" firstHeaderRow="0" firstDataRow="1" firstDataCol="1"/>
  <pivotFields count="21">
    <pivotField showAll="0"/>
    <pivotField showAll="0"/>
    <pivotField showAll="0">
      <items count="4">
        <item x="0"/>
        <item x="1"/>
        <item h="1" x="2"/>
        <item t="default"/>
      </items>
    </pivotField>
    <pivotField showAll="0"/>
    <pivotField showAll="0"/>
    <pivotField showAll="0"/>
    <pivotField axis="axisRow" showAll="0">
      <items count="7">
        <item x="4"/>
        <item x="1"/>
        <item x="3"/>
        <item x="2"/>
        <item x="0"/>
        <item h="1" x="5"/>
        <item t="default"/>
      </items>
    </pivotField>
    <pivotField showAll="0">
      <items count="7">
        <item x="0"/>
        <item x="1"/>
        <item x="4"/>
        <item x="2"/>
        <item x="3"/>
        <item x="5"/>
        <item t="default"/>
      </items>
    </pivotField>
    <pivotField showAll="0"/>
    <pivotField showAll="0"/>
    <pivotField showAll="0"/>
    <pivotField showAll="0"/>
    <pivotField dataField="1" showAll="0"/>
    <pivotField showAll="0"/>
    <pivotField showAll="0"/>
    <pivotField showAll="0"/>
    <pivotField dataField="1" showAll="0">
      <items count="20">
        <item x="3"/>
        <item x="0"/>
        <item x="9"/>
        <item x="6"/>
        <item x="16"/>
        <item x="5"/>
        <item x="2"/>
        <item x="14"/>
        <item x="7"/>
        <item x="11"/>
        <item x="10"/>
        <item x="15"/>
        <item x="17"/>
        <item x="4"/>
        <item x="13"/>
        <item x="12"/>
        <item x="1"/>
        <item x="8"/>
        <item x="18"/>
        <item t="default"/>
      </items>
    </pivotField>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70">
      <pivotArea type="all" dataOnly="0" outline="0" fieldPosition="0"/>
    </format>
    <format dxfId="69">
      <pivotArea outline="0" collapsedLevelsAreSubtotals="1" fieldPosition="0"/>
    </format>
    <format dxfId="68">
      <pivotArea field="6" type="button" dataOnly="0" labelOnly="1" outline="0" axis="axisRow" fieldPosition="0"/>
    </format>
    <format dxfId="67">
      <pivotArea dataOnly="0" labelOnly="1" fieldPosition="0">
        <references count="1">
          <reference field="6" count="0"/>
        </references>
      </pivotArea>
    </format>
    <format dxfId="66">
      <pivotArea dataOnly="0" labelOnly="1" grandRow="1" outline="0" fieldPosition="0"/>
    </format>
    <format dxfId="65">
      <pivotArea dataOnly="0" labelOnly="1" outline="0" axis="axisValues" fieldPosition="0"/>
    </format>
    <format dxfId="64">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97021D-46D8-401C-9787-310BF4211701}" sourceName="Gender">
  <data>
    <tabular pivotCacheId="1237049732">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96C628A-ED12-40AE-B7F6-6CB1913379BB}" sourceName="Department">
  <data>
    <tabular pivotCacheId="1237049732">
      <items count="6">
        <i x="0"/>
        <i x="1"/>
        <i x="4"/>
        <i x="2" s="1"/>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EB7843-C35E-42FC-B421-C591C9A7C569}" cache="Slicer_Gender" caption="Gender" columnCount="2" style="Slicer Style 2" rowHeight="247650"/>
  <slicer name="Department" xr10:uid="{51A027CA-E56A-4283-8EA6-B6A1513562EE}" cache="Slicer_Department" caption="Department" columnCount="3"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2" dataDxfId="21">
  <autoFilter ref="A1:U51" xr:uid="{BD7F130C-4931-4EC9-8AE2-A64F6556D3A3}"/>
  <tableColumns count="21">
    <tableColumn id="1" xr3:uid="{6BDBB43D-1DF4-4FF3-9C56-0E3D699A83FC}" name="Employee ID" dataDxfId="20"/>
    <tableColumn id="2" xr3:uid="{363D91B7-21AD-4B4B-86DE-95D24769EAA5}" name="Full Name" dataDxfId="19"/>
    <tableColumn id="3" xr3:uid="{728245EC-9766-45F5-9851-7FEFEFBE2652}" name="Gender" dataDxfId="18"/>
    <tableColumn id="4" xr3:uid="{DD8A90D1-163F-4B0E-A039-9E7A16AFC106}" name="Age" dataDxfId="17"/>
    <tableColumn id="5" xr3:uid="{0672993B-A00D-49AE-84B7-674089468A17}" name="Age range" dataDxfId="16"/>
    <tableColumn id="6" xr3:uid="{B1ADEE80-60F1-4EE3-B3FB-8484EE6C17B3}" name="Region" dataDxfId="15"/>
    <tableColumn id="7" xr3:uid="{8E0A56EE-3456-4513-ADA0-27F6CAA8C17B}" name="Job Title" dataDxfId="14"/>
    <tableColumn id="8" xr3:uid="{0D9D5DB9-01CB-4300-B0CD-256901621ADC}" name="Department" dataDxfId="13"/>
    <tableColumn id="9" xr3:uid="{9EBDAC3F-6A39-4A78-B562-848691EE3AD1}" name="Manager/Supervisor" dataDxfId="12"/>
    <tableColumn id="10" xr3:uid="{AF849F24-150A-4123-B3F8-A46B4D4F7BC6}" name="Date of Hire" dataDxfId="11"/>
    <tableColumn id="11" xr3:uid="{8C57202E-334A-462A-9C44-E5E2468122E4}" name="Employment Status" dataDxfId="10"/>
    <tableColumn id="12" xr3:uid="{8A07812C-245C-4D55-A210-3AE7E0BB84EB}" name="Work Location" dataDxfId="9"/>
    <tableColumn id="13" xr3:uid="{6441036C-01DD-4130-8E4B-DBA441BCB744}" name="Salary" dataDxfId="8"/>
    <tableColumn id="14" xr3:uid="{ADCF531A-A98E-422C-939D-04D58C2423FB}" name="Pay Grade" dataDxfId="7"/>
    <tableColumn id="15" xr3:uid="{DE922695-AE31-4F31-8F89-61E6E7E646AB}" name="Bonus/Allowances" dataDxfId="6"/>
    <tableColumn id="16" xr3:uid="{62F2B816-9954-4A01-AEDC-4C13B3A2A52F}" name="Insurance Details" dataDxfId="5"/>
    <tableColumn id="17" xr3:uid="{6EFEC335-9B75-45D5-B403-A8A9E557BE24}" name="Leave Taken" dataDxfId="4"/>
    <tableColumn id="18" xr3:uid="{9DA1B78E-154E-42E4-A1BC-FE1CF363DCBA}" name="Performance Rating" dataDxfId="3"/>
    <tableColumn id="19" xr3:uid="{7E4B5E79-5639-4E3A-91A1-D1D8767BB705}" name="Training Programs Attended" dataDxfId="2"/>
    <tableColumn id="20" xr3:uid="{2E731344-8C6D-4001-9E36-F16B80500F61}" name="Skills" dataDxfId="1"/>
    <tableColumn id="21" xr3:uid="{9DCE550B-F788-4423-B330-CAB70C041DFC}" name="Certifica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4B22-568E-4B33-998D-B3B4E816EC63}">
  <dimension ref="X9"/>
  <sheetViews>
    <sheetView tabSelected="1" zoomScale="70" zoomScaleNormal="70" workbookViewId="0">
      <selection activeCell="V21" sqref="V21"/>
    </sheetView>
  </sheetViews>
  <sheetFormatPr defaultRowHeight="16.8"/>
  <cols>
    <col min="1" max="16384" width="8.88671875" style="4"/>
  </cols>
  <sheetData>
    <row r="9" spans="24:24">
      <c r="X9" s="5"/>
    </row>
  </sheetData>
  <pageMargins left="0.7" right="0.7" top="0.75" bottom="0.75" header="0.3" footer="0.3"/>
  <pageSetup paperSize="9" orientation="portrait" horizontalDpi="30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E8" sqref="E8"/>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FCEC-50E0-4527-BA9A-9E73F64C178D}">
  <dimension ref="B2:Z24"/>
  <sheetViews>
    <sheetView zoomScale="70" zoomScaleNormal="70" workbookViewId="0">
      <selection activeCell="Y5" sqref="Y5"/>
    </sheetView>
  </sheetViews>
  <sheetFormatPr defaultRowHeight="16.8"/>
  <cols>
    <col min="1" max="1" width="4.5546875" customWidth="1"/>
    <col min="2" max="2" width="15.6640625" style="6" bestFit="1" customWidth="1"/>
    <col min="3" max="3" width="21.5546875" style="6" bestFit="1" customWidth="1"/>
    <col min="4" max="4" width="4.88671875" customWidth="1"/>
    <col min="5" max="6" width="15.6640625" style="6" bestFit="1" customWidth="1"/>
    <col min="7" max="7" width="22.44140625" style="6" bestFit="1" customWidth="1"/>
    <col min="8" max="8" width="17" customWidth="1"/>
    <col min="9" max="9" width="22" style="8" bestFit="1" customWidth="1"/>
    <col min="10" max="10" width="20" style="8" bestFit="1" customWidth="1"/>
    <col min="11" max="11" width="6.33203125" style="8" bestFit="1" customWidth="1"/>
    <col min="12" max="12" width="13.77734375" style="8" bestFit="1" customWidth="1"/>
    <col min="13" max="13" width="10.5546875" bestFit="1" customWidth="1"/>
    <col min="14" max="14" width="16.33203125" style="8" bestFit="1" customWidth="1"/>
    <col min="15" max="15" width="22" style="8" bestFit="1" customWidth="1"/>
    <col min="17" max="18" width="8.88671875" customWidth="1"/>
    <col min="19" max="19" width="16.33203125" style="8" bestFit="1" customWidth="1"/>
    <col min="20" max="20" width="22" style="8" bestFit="1" customWidth="1"/>
    <col min="22" max="22" width="16.33203125" style="7" bestFit="1" customWidth="1"/>
    <col min="23" max="23" width="22" style="7" bestFit="1" customWidth="1"/>
    <col min="25" max="25" width="15.6640625" style="6" bestFit="1" customWidth="1"/>
    <col min="26" max="26" width="34.21875" style="6" bestFit="1" customWidth="1"/>
  </cols>
  <sheetData>
    <row r="2" spans="2:26">
      <c r="B2" s="30" t="s">
        <v>229</v>
      </c>
      <c r="C2" s="30"/>
      <c r="E2" s="30" t="s">
        <v>228</v>
      </c>
      <c r="F2" s="30"/>
      <c r="G2" s="29"/>
      <c r="I2" s="31" t="s">
        <v>227</v>
      </c>
      <c r="J2" s="31"/>
      <c r="K2" s="31"/>
      <c r="L2" s="31"/>
      <c r="N2" s="31" t="s">
        <v>226</v>
      </c>
      <c r="O2" s="31"/>
      <c r="S2" s="31" t="s">
        <v>19</v>
      </c>
      <c r="T2" s="31"/>
      <c r="V2" s="32" t="s">
        <v>225</v>
      </c>
      <c r="W2" s="32"/>
      <c r="Y2" s="30" t="s">
        <v>224</v>
      </c>
      <c r="Z2" s="30"/>
    </row>
    <row r="3" spans="2:26" ht="18.600000000000001" customHeight="1"/>
    <row r="4" spans="2:26">
      <c r="B4" s="27" t="s">
        <v>218</v>
      </c>
      <c r="C4" s="18" t="s">
        <v>220</v>
      </c>
      <c r="E4" s="27" t="s">
        <v>218</v>
      </c>
      <c r="F4" s="18" t="s">
        <v>223</v>
      </c>
      <c r="G4" s="18" t="s">
        <v>222</v>
      </c>
      <c r="I4" s="26" t="s">
        <v>220</v>
      </c>
      <c r="J4" s="26" t="s">
        <v>221</v>
      </c>
      <c r="K4" s="20"/>
      <c r="L4" s="20"/>
      <c r="N4" s="26" t="s">
        <v>218</v>
      </c>
      <c r="O4" s="20" t="s">
        <v>220</v>
      </c>
      <c r="S4" s="26" t="s">
        <v>218</v>
      </c>
      <c r="T4" s="20" t="s">
        <v>220</v>
      </c>
      <c r="V4" s="28" t="s">
        <v>218</v>
      </c>
      <c r="W4" s="23" t="s">
        <v>220</v>
      </c>
      <c r="Y4" s="27" t="s">
        <v>218</v>
      </c>
      <c r="Z4" s="18" t="s">
        <v>219</v>
      </c>
    </row>
    <row r="5" spans="2:26">
      <c r="B5" s="19" t="s">
        <v>63</v>
      </c>
      <c r="C5" s="18">
        <v>17</v>
      </c>
      <c r="E5" s="19" t="s">
        <v>121</v>
      </c>
      <c r="F5" s="25">
        <v>167041</v>
      </c>
      <c r="G5" s="25">
        <v>28</v>
      </c>
      <c r="I5" s="26" t="s">
        <v>218</v>
      </c>
      <c r="J5" s="20" t="s">
        <v>22</v>
      </c>
      <c r="K5" s="20" t="s">
        <v>37</v>
      </c>
      <c r="L5" s="20" t="s">
        <v>216</v>
      </c>
      <c r="N5" s="21" t="s">
        <v>44</v>
      </c>
      <c r="O5" s="20">
        <v>23</v>
      </c>
      <c r="S5" s="21" t="s">
        <v>75</v>
      </c>
      <c r="T5" s="20">
        <v>12</v>
      </c>
      <c r="V5" s="24" t="s">
        <v>39</v>
      </c>
      <c r="W5" s="23">
        <v>14</v>
      </c>
      <c r="Y5" s="19" t="s">
        <v>26</v>
      </c>
      <c r="Z5" s="22">
        <v>2.5833333333333335</v>
      </c>
    </row>
    <row r="6" spans="2:26">
      <c r="B6" s="19" t="s">
        <v>29</v>
      </c>
      <c r="C6" s="18">
        <v>20</v>
      </c>
      <c r="E6" s="19" t="s">
        <v>40</v>
      </c>
      <c r="F6" s="25">
        <v>613842</v>
      </c>
      <c r="G6" s="25">
        <v>110</v>
      </c>
      <c r="I6" s="21" t="s">
        <v>23</v>
      </c>
      <c r="J6" s="20">
        <v>6</v>
      </c>
      <c r="K6" s="20">
        <v>3</v>
      </c>
      <c r="L6" s="20">
        <v>9</v>
      </c>
      <c r="N6" s="21" t="s">
        <v>30</v>
      </c>
      <c r="O6" s="20">
        <v>8</v>
      </c>
      <c r="S6" s="21" t="s">
        <v>34</v>
      </c>
      <c r="T6" s="20">
        <v>11</v>
      </c>
      <c r="V6" s="24" t="s">
        <v>24</v>
      </c>
      <c r="W6" s="23">
        <v>10</v>
      </c>
      <c r="Y6" s="19" t="s">
        <v>41</v>
      </c>
      <c r="Z6" s="22">
        <v>3.3</v>
      </c>
    </row>
    <row r="7" spans="2:26">
      <c r="B7" s="19" t="s">
        <v>111</v>
      </c>
      <c r="C7" s="18">
        <v>13</v>
      </c>
      <c r="E7" s="19" t="s">
        <v>72</v>
      </c>
      <c r="F7" s="25">
        <v>633594</v>
      </c>
      <c r="G7" s="25">
        <v>104</v>
      </c>
      <c r="I7" s="21" t="s">
        <v>38</v>
      </c>
      <c r="J7" s="20">
        <v>7</v>
      </c>
      <c r="K7" s="20">
        <v>6</v>
      </c>
      <c r="L7" s="20">
        <v>13</v>
      </c>
      <c r="N7" s="21" t="s">
        <v>54</v>
      </c>
      <c r="O7" s="20">
        <v>19</v>
      </c>
      <c r="S7" s="21" t="s">
        <v>96</v>
      </c>
      <c r="T7" s="20">
        <v>7</v>
      </c>
      <c r="V7" s="24" t="s">
        <v>102</v>
      </c>
      <c r="W7" s="23">
        <v>7</v>
      </c>
      <c r="Y7" s="19" t="s">
        <v>81</v>
      </c>
      <c r="Z7" s="22">
        <v>2.25</v>
      </c>
    </row>
    <row r="8" spans="2:26">
      <c r="B8" s="19" t="s">
        <v>216</v>
      </c>
      <c r="C8" s="18">
        <v>50</v>
      </c>
      <c r="E8" s="19" t="s">
        <v>50</v>
      </c>
      <c r="F8" s="25">
        <v>959266</v>
      </c>
      <c r="G8" s="25">
        <v>123</v>
      </c>
      <c r="I8" s="21" t="s">
        <v>59</v>
      </c>
      <c r="J8" s="20">
        <v>5</v>
      </c>
      <c r="K8" s="20">
        <v>7</v>
      </c>
      <c r="L8" s="20">
        <v>12</v>
      </c>
      <c r="N8" s="21" t="s">
        <v>216</v>
      </c>
      <c r="O8" s="20">
        <v>50</v>
      </c>
      <c r="S8" s="21" t="s">
        <v>56</v>
      </c>
      <c r="T8" s="20">
        <v>11</v>
      </c>
      <c r="V8" s="24" t="s">
        <v>80</v>
      </c>
      <c r="W8" s="23">
        <v>10</v>
      </c>
      <c r="Y8" s="19" t="s">
        <v>51</v>
      </c>
      <c r="Z8" s="22">
        <v>2.3636363636363638</v>
      </c>
    </row>
    <row r="9" spans="2:26">
      <c r="E9" s="19" t="s">
        <v>25</v>
      </c>
      <c r="F9" s="25">
        <v>731170</v>
      </c>
      <c r="G9" s="25">
        <v>122</v>
      </c>
      <c r="I9" s="21" t="s">
        <v>98</v>
      </c>
      <c r="J9" s="20">
        <v>4</v>
      </c>
      <c r="K9" s="20">
        <v>3</v>
      </c>
      <c r="L9" s="20">
        <v>7</v>
      </c>
      <c r="N9"/>
      <c r="O9"/>
      <c r="S9" s="21" t="s">
        <v>66</v>
      </c>
      <c r="T9" s="20">
        <v>9</v>
      </c>
      <c r="V9" s="24" t="s">
        <v>49</v>
      </c>
      <c r="W9" s="23">
        <v>9</v>
      </c>
      <c r="Y9" s="19" t="s">
        <v>60</v>
      </c>
      <c r="Z9" s="22">
        <v>2.5555555555555554</v>
      </c>
    </row>
    <row r="10" spans="2:26">
      <c r="E10" s="19" t="s">
        <v>216</v>
      </c>
      <c r="F10" s="18">
        <v>3104913</v>
      </c>
      <c r="G10" s="18">
        <v>487</v>
      </c>
      <c r="I10" s="21" t="s">
        <v>68</v>
      </c>
      <c r="J10" s="20">
        <v>4</v>
      </c>
      <c r="K10" s="20">
        <v>5</v>
      </c>
      <c r="L10" s="20">
        <v>9</v>
      </c>
      <c r="S10" s="21" t="s">
        <v>216</v>
      </c>
      <c r="T10" s="20">
        <v>50</v>
      </c>
      <c r="V10" s="24" t="s">
        <v>216</v>
      </c>
      <c r="W10" s="23">
        <v>50</v>
      </c>
      <c r="Y10" s="19" t="s">
        <v>217</v>
      </c>
      <c r="Z10" s="22"/>
    </row>
    <row r="11" spans="2:26">
      <c r="B11" s="15" t="s">
        <v>63</v>
      </c>
      <c r="C11" s="6">
        <f>IFERROR(GETPIVOTDATA("Full Name",$B$4,"Employment Status","Contract"),"0")</f>
        <v>17</v>
      </c>
      <c r="I11" s="21" t="s">
        <v>216</v>
      </c>
      <c r="J11" s="20">
        <v>26</v>
      </c>
      <c r="K11" s="20">
        <v>24</v>
      </c>
      <c r="L11" s="20">
        <v>50</v>
      </c>
      <c r="N11" s="13" t="s">
        <v>44</v>
      </c>
      <c r="O11" s="8">
        <f>IFERROR(GETPIVOTDATA("Full Name",$N$4,"Work Location","Branch Office"),"0")</f>
        <v>23</v>
      </c>
      <c r="P11" s="17">
        <f>SUM(O11)/SUM($O$11:$O$13)</f>
        <v>0.46</v>
      </c>
      <c r="Q11" s="17">
        <f>1-P11</f>
        <v>0.54</v>
      </c>
      <c r="Y11" s="19" t="s">
        <v>216</v>
      </c>
      <c r="Z11" s="18">
        <v>2.62</v>
      </c>
    </row>
    <row r="12" spans="2:26">
      <c r="B12" s="15" t="s">
        <v>29</v>
      </c>
      <c r="C12" s="6">
        <f>IFERROR(GETPIVOTDATA("Full Name",$B$4,"Employment Status","Full-Time"),"0")</f>
        <v>20</v>
      </c>
      <c r="N12" s="13" t="s">
        <v>30</v>
      </c>
      <c r="O12" s="8">
        <f>IFERROR(GETPIVOTDATA("Full Name",$N$4,"Work Location","Head Office"),"0")</f>
        <v>8</v>
      </c>
      <c r="P12" s="17">
        <f>SUM(O12)/SUM($O$11:$O$13)</f>
        <v>0.16</v>
      </c>
      <c r="Q12" s="17">
        <f>1-P12</f>
        <v>0.84</v>
      </c>
    </row>
    <row r="13" spans="2:26">
      <c r="B13" s="15" t="s">
        <v>111</v>
      </c>
      <c r="C13" s="6">
        <f>IFERROR(GETPIVOTDATA("Full Name",$B$4,"Employment Status","Part-Time"), "0")</f>
        <v>13</v>
      </c>
      <c r="E13" s="15" t="s">
        <v>121</v>
      </c>
      <c r="F13" s="14">
        <f>IFERROR(GETPIVOTDATA("Salary",$E$4,"Job Title","Analyst"),"0")</f>
        <v>167041</v>
      </c>
      <c r="G13" s="14">
        <f>IFERROR(GETPIVOTDATA("Sum of Leave Taken",$E$4,"Job Title","Analyst"),"0")</f>
        <v>28</v>
      </c>
      <c r="N13" s="13" t="s">
        <v>54</v>
      </c>
      <c r="O13" s="8">
        <f>IFERROR(GETPIVOTDATA("Full Name",$N$4,"Work Location","Remote"),"0")</f>
        <v>19</v>
      </c>
      <c r="P13" s="17">
        <f>SUM(O13)/SUM($O$11:$O$13)</f>
        <v>0.38</v>
      </c>
      <c r="Q13" s="17">
        <f>1-P13</f>
        <v>0.62</v>
      </c>
      <c r="S13" s="13" t="s">
        <v>75</v>
      </c>
      <c r="T13" s="8">
        <f>IFERROR(GETPIVOTDATA("Full Name",$S$4,"Skills","Communication"),"0")</f>
        <v>12</v>
      </c>
      <c r="V13" s="16" t="s">
        <v>39</v>
      </c>
      <c r="W13" s="7">
        <f>IFERROR(GETPIVOTDATA("Full Name",$V$4,"Region","Central"),"0")</f>
        <v>14</v>
      </c>
      <c r="Y13" s="15" t="s">
        <v>26</v>
      </c>
      <c r="Z13" s="12">
        <f>IFERROR(GETPIVOTDATA("Performance Rating",$Y$4,"Department","Finance"),"0")</f>
        <v>2.5833333333333335</v>
      </c>
    </row>
    <row r="14" spans="2:26">
      <c r="B14" s="15" t="s">
        <v>214</v>
      </c>
      <c r="C14" s="6">
        <f>SUM(C11:C13)</f>
        <v>50</v>
      </c>
      <c r="E14" s="15" t="s">
        <v>40</v>
      </c>
      <c r="F14" s="14">
        <f>IFERROR(GETPIVOTDATA("Salary",$E$4,"Job Title","Designer"),"0")</f>
        <v>613842</v>
      </c>
      <c r="G14" s="14">
        <f>IFERROR(GETPIVOTDATA("Sum of Leave Taken",$E$4,"Job Title","Designer"),"0")</f>
        <v>110</v>
      </c>
      <c r="I14" s="13" t="s">
        <v>23</v>
      </c>
      <c r="J14" s="8">
        <f>IFERROR(GETPIVOTDATA("Full Name",$I$4,"Age range","18-25"),"0")</f>
        <v>9</v>
      </c>
      <c r="N14" s="13" t="s">
        <v>214</v>
      </c>
      <c r="O14" s="8">
        <f>SUM(O11:O13)</f>
        <v>50</v>
      </c>
      <c r="S14" s="13" t="s">
        <v>34</v>
      </c>
      <c r="T14" s="8">
        <f>IFERROR(GETPIVOTDATA("Full Name",$S$4,"Skills","Design"),"0")</f>
        <v>11</v>
      </c>
      <c r="V14" s="16" t="s">
        <v>24</v>
      </c>
      <c r="W14" s="7">
        <f>IFERROR(GETPIVOTDATA("Full Name",$V$4,"Region","East"),"0")</f>
        <v>10</v>
      </c>
      <c r="Y14" s="15" t="s">
        <v>41</v>
      </c>
      <c r="Z14" s="12">
        <f>IFERROR(GETPIVOTDATA("Performance Rating",$Y$4,"Department","HR"),"0")</f>
        <v>3.3</v>
      </c>
    </row>
    <row r="15" spans="2:26">
      <c r="E15" s="15" t="s">
        <v>72</v>
      </c>
      <c r="F15" s="14">
        <f>IFERROR(GETPIVOTDATA("Salary",$E$4,"Job Title","Developer"),"0")</f>
        <v>633594</v>
      </c>
      <c r="G15" s="14">
        <f>IFERROR(GETPIVOTDATA("Sum of Leave Taken",$E$4,"Job Title","Developer"),"0")</f>
        <v>104</v>
      </c>
      <c r="I15" s="13" t="s">
        <v>38</v>
      </c>
      <c r="J15" s="8">
        <f>IFERROR(GETPIVOTDATA("Full Name",$I$4,"Age range","26-35"),"0")</f>
        <v>13</v>
      </c>
      <c r="S15" s="13" t="s">
        <v>96</v>
      </c>
      <c r="T15" s="8">
        <f>IFERROR(GETPIVOTDATA("Full Name",$S$4,"Skills","Excel"),"0")</f>
        <v>7</v>
      </c>
      <c r="V15" s="16" t="s">
        <v>102</v>
      </c>
      <c r="W15" s="7">
        <f>IFERROR(GETPIVOTDATA("Full Name",$V$4,"Region","North"),"0")</f>
        <v>7</v>
      </c>
      <c r="Y15" s="15" t="s">
        <v>81</v>
      </c>
      <c r="Z15" s="12">
        <f>IFERROR(GETPIVOTDATA("Performance Rating",$Y$4,"Department","IT"),"0")</f>
        <v>2.25</v>
      </c>
    </row>
    <row r="16" spans="2:26">
      <c r="E16" s="15" t="s">
        <v>50</v>
      </c>
      <c r="F16" s="14">
        <f>IFERROR(GETPIVOTDATA("Salary",$E$4,"Job Title","HR Specialist"),"0")</f>
        <v>959266</v>
      </c>
      <c r="G16" s="14">
        <f>IFERROR(GETPIVOTDATA("Sum of Leave Taken",$E$4,"Job Title","HR Specialist"),"0")</f>
        <v>123</v>
      </c>
      <c r="I16" s="13" t="s">
        <v>59</v>
      </c>
      <c r="J16" s="8">
        <f>IFERROR(GETPIVOTDATA("Full Name",$I$4,"Age range","36-45"),"0")</f>
        <v>12</v>
      </c>
      <c r="S16" s="13" t="s">
        <v>56</v>
      </c>
      <c r="T16" s="8">
        <f>IFERROR(GETPIVOTDATA("Full Name",$S$4,"Skills","Management"),"0")</f>
        <v>11</v>
      </c>
      <c r="V16" s="16" t="s">
        <v>80</v>
      </c>
      <c r="W16" s="7">
        <f>IFERROR(GETPIVOTDATA("Full Name",$V$4,"Region","South"),"0")</f>
        <v>10</v>
      </c>
      <c r="Y16" s="15" t="s">
        <v>51</v>
      </c>
      <c r="Z16" s="12">
        <f>IFERROR(GETPIVOTDATA("Performance Rating",$Y$4,"Department","Marketing"),"0")</f>
        <v>2.3636363636363638</v>
      </c>
    </row>
    <row r="17" spans="5:26">
      <c r="E17" s="15" t="s">
        <v>25</v>
      </c>
      <c r="F17" s="14">
        <f>IFERROR(GETPIVOTDATA("Salary",$E$4,"Job Title","Manager"),"0")</f>
        <v>731170</v>
      </c>
      <c r="G17" s="14">
        <f>IFERROR(GETPIVOTDATA("Sum of Leave Taken",$E$4,"Job Title","Manager"),"0")</f>
        <v>122</v>
      </c>
      <c r="I17" s="13" t="s">
        <v>98</v>
      </c>
      <c r="J17" s="8">
        <f>IFERROR(GETPIVOTDATA("Full Name",$I$4,"Age range","46-55"),"0")</f>
        <v>7</v>
      </c>
      <c r="S17" s="13" t="s">
        <v>66</v>
      </c>
      <c r="T17" s="8">
        <f>IFERROR(GETPIVOTDATA("Full Name",$S$4,"Skills","Python"),"0")</f>
        <v>9</v>
      </c>
      <c r="V17" s="16" t="s">
        <v>49</v>
      </c>
      <c r="W17" s="7">
        <f>IFERROR(GETPIVOTDATA("Full Name",$V$4,"Region","West"),"0")</f>
        <v>9</v>
      </c>
      <c r="Y17" s="15" t="s">
        <v>60</v>
      </c>
      <c r="Z17" s="12">
        <f>IFERROR(GETPIVOTDATA("Performance Rating",$Y$4,"Department","Operations"),"0")</f>
        <v>2.5555555555555554</v>
      </c>
    </row>
    <row r="18" spans="5:26">
      <c r="E18" s="15" t="s">
        <v>214</v>
      </c>
      <c r="F18" s="14">
        <f>SUM(F13:F17)</f>
        <v>3104913</v>
      </c>
      <c r="G18" s="14">
        <f>SUM(G13:G17)</f>
        <v>487</v>
      </c>
      <c r="I18" s="13" t="s">
        <v>68</v>
      </c>
      <c r="J18" s="8">
        <f>IFERROR(GETPIVOTDATA("Full Name",$I$4,"Age range","56 &lt;"),"0")</f>
        <v>9</v>
      </c>
      <c r="S18" s="13" t="s">
        <v>215</v>
      </c>
      <c r="T18" s="8">
        <f>SUM(T13:T17)</f>
        <v>50</v>
      </c>
      <c r="V18" s="7" t="s">
        <v>214</v>
      </c>
      <c r="W18" s="7">
        <f>SUM(W13:W17)</f>
        <v>50</v>
      </c>
      <c r="Y18" s="6" t="s">
        <v>214</v>
      </c>
      <c r="Z18" s="12">
        <f>AVERAGE(Z13:Z17)</f>
        <v>2.6105050505050502</v>
      </c>
    </row>
    <row r="19" spans="5:26">
      <c r="I19" s="8" t="s">
        <v>214</v>
      </c>
      <c r="J19" s="8">
        <f>SUM(J14:J18)</f>
        <v>50</v>
      </c>
    </row>
    <row r="22" spans="5:26">
      <c r="I22" s="8" t="s">
        <v>37</v>
      </c>
      <c r="J22" s="8">
        <f>IFERROR(GETPIVOTDATA("Full Name",$I$4,"Gender","Male"),"0")</f>
        <v>24</v>
      </c>
      <c r="K22" s="11">
        <f>SUM(J22)/SUM($J$22:$J$23)</f>
        <v>0.48</v>
      </c>
      <c r="L22" s="10">
        <f>1-K22</f>
        <v>0.52</v>
      </c>
    </row>
    <row r="23" spans="5:26">
      <c r="I23" s="8" t="s">
        <v>22</v>
      </c>
      <c r="J23" s="8">
        <f>IFERROR(GETPIVOTDATA("Full Name",$I$4,"Gender","Female"),"0")</f>
        <v>26</v>
      </c>
      <c r="K23" s="11">
        <f>SUM(J23)/SUM($J$22:$J$23)</f>
        <v>0.52</v>
      </c>
      <c r="L23" s="10">
        <f>1-K23</f>
        <v>0.48</v>
      </c>
    </row>
    <row r="24" spans="5:26">
      <c r="I24" s="8" t="s">
        <v>214</v>
      </c>
      <c r="J24" s="9">
        <f>SUM(J22:J23)</f>
        <v>50</v>
      </c>
    </row>
  </sheetData>
  <mergeCells count="7">
    <mergeCell ref="Y2:Z2"/>
    <mergeCell ref="E2:F2"/>
    <mergeCell ref="B2:C2"/>
    <mergeCell ref="I2:L2"/>
    <mergeCell ref="N2:O2"/>
    <mergeCell ref="S2:T2"/>
    <mergeCell ref="V2:W2"/>
  </mergeCells>
  <pageMargins left="0.7" right="0.7" top="0.75" bottom="0.75" header="0.3" footer="0.3"/>
  <pageSetup paperSize="9" orientation="portrait" horizontalDpi="300" verticalDpi="0"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Gunti  Ujwal Sai Rahul</cp:lastModifiedBy>
  <dcterms:created xsi:type="dcterms:W3CDTF">2024-12-11T17:14:33Z</dcterms:created>
  <dcterms:modified xsi:type="dcterms:W3CDTF">2025-07-09T15:18:12Z</dcterms:modified>
</cp:coreProperties>
</file>